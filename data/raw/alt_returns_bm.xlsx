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Python\TPA Dashboard\1.액티브프로그램 BM 데이터 정리\"/>
    </mc:Choice>
  </mc:AlternateContent>
  <bookViews>
    <workbookView xWindow="0" yWindow="0" windowWidth="21570" windowHeight="7050" activeTab="1"/>
  </bookViews>
  <sheets>
    <sheet name="값" sheetId="1" r:id="rId1"/>
    <sheet name="Main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6" i="2" l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2" i="2"/>
  <c r="G12" i="1" l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C4" i="1"/>
  <c r="D4" i="1"/>
  <c r="F4" i="1"/>
  <c r="I4" i="1"/>
  <c r="J4" i="1"/>
  <c r="M4" i="1"/>
  <c r="C5" i="1"/>
  <c r="D5" i="1"/>
  <c r="F5" i="1"/>
  <c r="I5" i="1"/>
  <c r="J5" i="1"/>
  <c r="M5" i="1"/>
  <c r="C6" i="1"/>
  <c r="D6" i="1"/>
  <c r="F6" i="1"/>
  <c r="I6" i="1"/>
  <c r="J6" i="1"/>
  <c r="M6" i="1"/>
  <c r="C7" i="1"/>
  <c r="D7" i="1"/>
  <c r="F7" i="1"/>
  <c r="I7" i="1"/>
  <c r="J7" i="1"/>
  <c r="M7" i="1"/>
  <c r="C8" i="1"/>
  <c r="D8" i="1"/>
  <c r="F8" i="1"/>
  <c r="I8" i="1"/>
  <c r="J8" i="1"/>
  <c r="M8" i="1"/>
  <c r="C9" i="1"/>
  <c r="D9" i="1"/>
  <c r="F9" i="1"/>
  <c r="I9" i="1"/>
  <c r="J9" i="1"/>
  <c r="M9" i="1"/>
  <c r="C10" i="1"/>
  <c r="D10" i="1"/>
  <c r="F10" i="1"/>
  <c r="I10" i="1"/>
  <c r="J10" i="1"/>
  <c r="M10" i="1"/>
  <c r="C11" i="1"/>
  <c r="D11" i="1"/>
  <c r="F11" i="1"/>
  <c r="I11" i="1"/>
  <c r="J11" i="1"/>
  <c r="M11" i="1"/>
  <c r="C12" i="1"/>
  <c r="D12" i="1"/>
  <c r="E12" i="1"/>
  <c r="F12" i="1"/>
  <c r="I12" i="1"/>
  <c r="J12" i="1"/>
  <c r="M12" i="1"/>
  <c r="C13" i="1"/>
  <c r="D13" i="1"/>
  <c r="E13" i="1"/>
  <c r="F13" i="1"/>
  <c r="I13" i="1"/>
  <c r="J13" i="1"/>
  <c r="M13" i="1"/>
  <c r="C14" i="1"/>
  <c r="D14" i="1"/>
  <c r="E14" i="1"/>
  <c r="F14" i="1"/>
  <c r="I14" i="1"/>
  <c r="J14" i="1"/>
  <c r="M14" i="1"/>
  <c r="C15" i="1"/>
  <c r="D15" i="1"/>
  <c r="E15" i="1"/>
  <c r="F15" i="1"/>
  <c r="I15" i="1"/>
  <c r="J15" i="1"/>
  <c r="M15" i="1"/>
  <c r="C16" i="1"/>
  <c r="D16" i="1"/>
  <c r="E16" i="1"/>
  <c r="F16" i="1"/>
  <c r="I16" i="1"/>
  <c r="J16" i="1"/>
  <c r="M16" i="1"/>
  <c r="C17" i="1"/>
  <c r="D17" i="1"/>
  <c r="E17" i="1"/>
  <c r="F17" i="1"/>
  <c r="I17" i="1"/>
  <c r="J17" i="1"/>
  <c r="M17" i="1"/>
  <c r="C18" i="1"/>
  <c r="D18" i="1"/>
  <c r="E18" i="1"/>
  <c r="F18" i="1"/>
  <c r="I18" i="1"/>
  <c r="J18" i="1"/>
  <c r="M18" i="1"/>
  <c r="C19" i="1"/>
  <c r="D19" i="1"/>
  <c r="E19" i="1"/>
  <c r="F19" i="1"/>
  <c r="I19" i="1"/>
  <c r="J19" i="1"/>
  <c r="M19" i="1"/>
  <c r="C20" i="1"/>
  <c r="D20" i="1"/>
  <c r="E20" i="1"/>
  <c r="F20" i="1"/>
  <c r="I20" i="1"/>
  <c r="J20" i="1"/>
  <c r="M20" i="1"/>
  <c r="C21" i="1"/>
  <c r="D21" i="1"/>
  <c r="E21" i="1"/>
  <c r="F21" i="1"/>
  <c r="I21" i="1"/>
  <c r="J21" i="1"/>
  <c r="M21" i="1"/>
  <c r="C22" i="1"/>
  <c r="D22" i="1"/>
  <c r="E22" i="1"/>
  <c r="F22" i="1"/>
  <c r="I22" i="1"/>
  <c r="J22" i="1"/>
  <c r="M22" i="1"/>
  <c r="C23" i="1"/>
  <c r="D23" i="1"/>
  <c r="E23" i="1"/>
  <c r="F23" i="1"/>
  <c r="I23" i="1"/>
  <c r="J23" i="1"/>
  <c r="M23" i="1"/>
  <c r="C24" i="1"/>
  <c r="D24" i="1"/>
  <c r="E24" i="1"/>
  <c r="F24" i="1"/>
  <c r="I24" i="1"/>
  <c r="J24" i="1"/>
  <c r="M24" i="1"/>
  <c r="C25" i="1"/>
  <c r="D25" i="1"/>
  <c r="E25" i="1"/>
  <c r="F25" i="1"/>
  <c r="I25" i="1"/>
  <c r="J25" i="1"/>
  <c r="M25" i="1"/>
  <c r="C26" i="1"/>
  <c r="D26" i="1"/>
  <c r="E26" i="1"/>
  <c r="F26" i="1"/>
  <c r="I26" i="1"/>
  <c r="J26" i="1"/>
  <c r="M26" i="1"/>
  <c r="C27" i="1"/>
  <c r="D27" i="1"/>
  <c r="E27" i="1"/>
  <c r="F27" i="1"/>
  <c r="I27" i="1"/>
  <c r="J27" i="1"/>
  <c r="M27" i="1"/>
  <c r="C28" i="1"/>
  <c r="D28" i="1"/>
  <c r="E28" i="1"/>
  <c r="F28" i="1"/>
  <c r="I28" i="1"/>
  <c r="J28" i="1"/>
  <c r="M28" i="1"/>
  <c r="C29" i="1"/>
  <c r="D29" i="1"/>
  <c r="E29" i="1"/>
  <c r="F29" i="1"/>
  <c r="I29" i="1"/>
  <c r="J29" i="1"/>
  <c r="M29" i="1"/>
  <c r="C30" i="1"/>
  <c r="D30" i="1"/>
  <c r="E30" i="1"/>
  <c r="F30" i="1"/>
  <c r="I30" i="1"/>
  <c r="J30" i="1"/>
  <c r="M30" i="1"/>
  <c r="C31" i="1"/>
  <c r="D31" i="1"/>
  <c r="E31" i="1"/>
  <c r="F31" i="1"/>
  <c r="I31" i="1"/>
  <c r="J31" i="1"/>
  <c r="M31" i="1"/>
  <c r="R31" i="1"/>
  <c r="S31" i="1"/>
  <c r="T31" i="1"/>
  <c r="U31" i="1"/>
  <c r="C32" i="1"/>
  <c r="D32" i="1"/>
  <c r="E32" i="1"/>
  <c r="F32" i="1"/>
  <c r="I32" i="1"/>
  <c r="J32" i="1"/>
  <c r="M32" i="1"/>
  <c r="R32" i="1"/>
  <c r="S32" i="1"/>
  <c r="T32" i="1"/>
  <c r="U32" i="1"/>
  <c r="C33" i="1"/>
  <c r="D33" i="1"/>
  <c r="E33" i="1"/>
  <c r="F33" i="1"/>
  <c r="I33" i="1"/>
  <c r="J33" i="1"/>
  <c r="M33" i="1"/>
  <c r="R33" i="1"/>
  <c r="S33" i="1"/>
  <c r="T33" i="1"/>
  <c r="U33" i="1"/>
  <c r="C34" i="1"/>
  <c r="D34" i="1"/>
  <c r="E34" i="1"/>
  <c r="F34" i="1"/>
  <c r="I34" i="1"/>
  <c r="J34" i="1"/>
  <c r="M34" i="1"/>
  <c r="R34" i="1"/>
  <c r="S34" i="1"/>
  <c r="T34" i="1"/>
  <c r="U34" i="1"/>
  <c r="C35" i="1"/>
  <c r="D35" i="1"/>
  <c r="E35" i="1"/>
  <c r="F35" i="1"/>
  <c r="I35" i="1"/>
  <c r="J35" i="1"/>
  <c r="M35" i="1"/>
  <c r="R35" i="1"/>
  <c r="S35" i="1"/>
  <c r="T35" i="1"/>
  <c r="U35" i="1"/>
  <c r="C36" i="1"/>
  <c r="D36" i="1"/>
  <c r="E36" i="1"/>
  <c r="F36" i="1"/>
  <c r="I36" i="1"/>
  <c r="J36" i="1"/>
  <c r="M36" i="1"/>
  <c r="R36" i="1"/>
  <c r="S36" i="1"/>
  <c r="T36" i="1"/>
  <c r="U36" i="1"/>
  <c r="C37" i="1"/>
  <c r="D37" i="1"/>
  <c r="E37" i="1"/>
  <c r="F37" i="1"/>
  <c r="I37" i="1"/>
  <c r="J37" i="1"/>
  <c r="M37" i="1"/>
  <c r="R37" i="1"/>
  <c r="S37" i="1"/>
  <c r="T37" i="1"/>
  <c r="U37" i="1"/>
  <c r="C38" i="1"/>
  <c r="D38" i="1"/>
  <c r="E38" i="1"/>
  <c r="F38" i="1"/>
  <c r="I38" i="1"/>
  <c r="J38" i="1"/>
  <c r="M38" i="1"/>
  <c r="R38" i="1"/>
  <c r="S38" i="1"/>
  <c r="T38" i="1"/>
  <c r="U38" i="1"/>
  <c r="C39" i="1"/>
  <c r="D39" i="1"/>
  <c r="E39" i="1"/>
  <c r="F39" i="1"/>
  <c r="I39" i="1"/>
  <c r="J39" i="1"/>
  <c r="M39" i="1"/>
  <c r="R39" i="1"/>
  <c r="S39" i="1"/>
  <c r="T39" i="1"/>
  <c r="U39" i="1"/>
  <c r="C40" i="1"/>
  <c r="D40" i="1"/>
  <c r="E40" i="1"/>
  <c r="F40" i="1"/>
  <c r="I40" i="1"/>
  <c r="J40" i="1"/>
  <c r="M40" i="1"/>
  <c r="R40" i="1"/>
  <c r="S40" i="1"/>
  <c r="T40" i="1"/>
  <c r="U40" i="1"/>
  <c r="C41" i="1"/>
  <c r="D41" i="1"/>
  <c r="E41" i="1"/>
  <c r="F41" i="1"/>
  <c r="I41" i="1"/>
  <c r="J41" i="1"/>
  <c r="M41" i="1"/>
  <c r="R41" i="1"/>
  <c r="S41" i="1"/>
  <c r="T41" i="1"/>
  <c r="U41" i="1"/>
  <c r="C42" i="1"/>
  <c r="D42" i="1"/>
  <c r="E42" i="1"/>
  <c r="F42" i="1"/>
  <c r="I42" i="1"/>
  <c r="J42" i="1"/>
  <c r="M42" i="1"/>
  <c r="R42" i="1"/>
  <c r="S42" i="1"/>
  <c r="T42" i="1"/>
  <c r="U42" i="1"/>
  <c r="C43" i="1"/>
  <c r="D43" i="1"/>
  <c r="E43" i="1"/>
  <c r="F43" i="1"/>
  <c r="I43" i="1"/>
  <c r="J43" i="1"/>
  <c r="M43" i="1"/>
  <c r="R43" i="1"/>
  <c r="S43" i="1"/>
  <c r="T43" i="1"/>
  <c r="U43" i="1"/>
  <c r="C44" i="1"/>
  <c r="D44" i="1"/>
  <c r="E44" i="1"/>
  <c r="F44" i="1"/>
  <c r="I44" i="1"/>
  <c r="J44" i="1"/>
  <c r="M44" i="1"/>
  <c r="R44" i="1"/>
  <c r="S44" i="1"/>
  <c r="T44" i="1"/>
  <c r="U44" i="1"/>
  <c r="C45" i="1"/>
  <c r="D45" i="1"/>
  <c r="E45" i="1"/>
  <c r="F45" i="1"/>
  <c r="H45" i="1"/>
  <c r="I45" i="1"/>
  <c r="J45" i="1"/>
  <c r="M45" i="1"/>
  <c r="R45" i="1"/>
  <c r="S45" i="1"/>
  <c r="T45" i="1"/>
  <c r="U45" i="1"/>
  <c r="C46" i="1"/>
  <c r="D46" i="1"/>
  <c r="E46" i="1"/>
  <c r="F46" i="1"/>
  <c r="H46" i="1"/>
  <c r="I46" i="1"/>
  <c r="J46" i="1"/>
  <c r="M46" i="1"/>
  <c r="R46" i="1"/>
  <c r="S46" i="1"/>
  <c r="T46" i="1"/>
  <c r="U46" i="1"/>
  <c r="C47" i="1"/>
  <c r="D47" i="1"/>
  <c r="E47" i="1"/>
  <c r="F47" i="1"/>
  <c r="H47" i="1"/>
  <c r="I47" i="1"/>
  <c r="J47" i="1"/>
  <c r="M47" i="1"/>
  <c r="R47" i="1"/>
  <c r="S47" i="1"/>
  <c r="T47" i="1"/>
  <c r="U47" i="1"/>
  <c r="C48" i="1"/>
  <c r="D48" i="1"/>
  <c r="E48" i="1"/>
  <c r="F48" i="1"/>
  <c r="H48" i="1"/>
  <c r="I48" i="1"/>
  <c r="J48" i="1"/>
  <c r="M48" i="1"/>
  <c r="R48" i="1"/>
  <c r="S48" i="1"/>
  <c r="T48" i="1"/>
  <c r="U48" i="1"/>
  <c r="C49" i="1"/>
  <c r="D49" i="1"/>
  <c r="E49" i="1"/>
  <c r="F49" i="1"/>
  <c r="H49" i="1"/>
  <c r="I49" i="1"/>
  <c r="J49" i="1"/>
  <c r="M49" i="1"/>
  <c r="R49" i="1"/>
  <c r="S49" i="1"/>
  <c r="T49" i="1"/>
  <c r="U49" i="1"/>
  <c r="C50" i="1"/>
  <c r="D50" i="1"/>
  <c r="E50" i="1"/>
  <c r="F50" i="1"/>
  <c r="H50" i="1"/>
  <c r="I50" i="1"/>
  <c r="J50" i="1"/>
  <c r="M50" i="1"/>
  <c r="R50" i="1"/>
  <c r="S50" i="1"/>
  <c r="T50" i="1"/>
  <c r="U50" i="1"/>
  <c r="C51" i="1"/>
  <c r="D51" i="1"/>
  <c r="E51" i="1"/>
  <c r="F51" i="1"/>
  <c r="H51" i="1"/>
  <c r="I51" i="1"/>
  <c r="J51" i="1"/>
  <c r="M51" i="1"/>
  <c r="R51" i="1"/>
  <c r="S51" i="1"/>
  <c r="T51" i="1"/>
  <c r="U51" i="1"/>
  <c r="C52" i="1"/>
  <c r="D52" i="1"/>
  <c r="E52" i="1"/>
  <c r="F52" i="1"/>
  <c r="H52" i="1"/>
  <c r="I52" i="1"/>
  <c r="J52" i="1"/>
  <c r="M52" i="1"/>
  <c r="R52" i="1"/>
  <c r="S52" i="1"/>
  <c r="T52" i="1"/>
  <c r="U52" i="1"/>
  <c r="C53" i="1"/>
  <c r="D53" i="1"/>
  <c r="E53" i="1"/>
  <c r="F53" i="1"/>
  <c r="H53" i="1"/>
  <c r="I53" i="1"/>
  <c r="J53" i="1"/>
  <c r="M53" i="1"/>
  <c r="R53" i="1"/>
  <c r="S53" i="1"/>
  <c r="T53" i="1"/>
  <c r="U53" i="1"/>
  <c r="C54" i="1"/>
  <c r="D54" i="1"/>
  <c r="E54" i="1"/>
  <c r="F54" i="1"/>
  <c r="H54" i="1"/>
  <c r="I54" i="1"/>
  <c r="J54" i="1"/>
  <c r="M54" i="1"/>
  <c r="R54" i="1"/>
  <c r="S54" i="1"/>
  <c r="T54" i="1"/>
  <c r="U54" i="1"/>
  <c r="C55" i="1"/>
  <c r="D55" i="1"/>
  <c r="E55" i="1"/>
  <c r="F55" i="1"/>
  <c r="H55" i="1"/>
  <c r="I55" i="1"/>
  <c r="J55" i="1"/>
  <c r="M55" i="1"/>
  <c r="R55" i="1"/>
  <c r="S55" i="1"/>
  <c r="T55" i="1"/>
  <c r="U55" i="1"/>
  <c r="C56" i="1"/>
  <c r="D56" i="1"/>
  <c r="E56" i="1"/>
  <c r="F56" i="1"/>
  <c r="H56" i="1"/>
  <c r="I56" i="1"/>
  <c r="J56" i="1"/>
  <c r="M56" i="1"/>
  <c r="R56" i="1"/>
  <c r="S56" i="1"/>
  <c r="T56" i="1"/>
  <c r="U56" i="1"/>
  <c r="C57" i="1"/>
  <c r="D57" i="1"/>
  <c r="E57" i="1"/>
  <c r="F57" i="1"/>
  <c r="H57" i="1"/>
  <c r="I57" i="1"/>
  <c r="J57" i="1"/>
  <c r="M57" i="1"/>
  <c r="R57" i="1"/>
  <c r="S57" i="1"/>
  <c r="T57" i="1"/>
  <c r="U57" i="1"/>
  <c r="C58" i="1"/>
  <c r="D58" i="1"/>
  <c r="E58" i="1"/>
  <c r="F58" i="1"/>
  <c r="H58" i="1"/>
  <c r="I58" i="1"/>
  <c r="J58" i="1"/>
  <c r="M58" i="1"/>
  <c r="R58" i="1"/>
  <c r="S58" i="1"/>
  <c r="T58" i="1"/>
  <c r="U58" i="1"/>
  <c r="C59" i="1"/>
  <c r="D59" i="1"/>
  <c r="E59" i="1"/>
  <c r="F59" i="1"/>
  <c r="H59" i="1"/>
  <c r="I59" i="1"/>
  <c r="J59" i="1"/>
  <c r="M59" i="1"/>
  <c r="R59" i="1"/>
  <c r="S59" i="1"/>
  <c r="T59" i="1"/>
  <c r="U59" i="1"/>
  <c r="C60" i="1"/>
  <c r="D60" i="1"/>
  <c r="E60" i="1"/>
  <c r="F60" i="1"/>
  <c r="H60" i="1"/>
  <c r="I60" i="1"/>
  <c r="J60" i="1"/>
  <c r="M60" i="1"/>
  <c r="R60" i="1"/>
  <c r="S60" i="1"/>
  <c r="T60" i="1"/>
  <c r="U60" i="1"/>
  <c r="C61" i="1"/>
  <c r="D61" i="1"/>
  <c r="E61" i="1"/>
  <c r="F61" i="1"/>
  <c r="H61" i="1"/>
  <c r="I61" i="1"/>
  <c r="J61" i="1"/>
  <c r="M61" i="1"/>
  <c r="R61" i="1"/>
  <c r="S61" i="1"/>
  <c r="T61" i="1"/>
  <c r="U61" i="1"/>
  <c r="C62" i="1"/>
  <c r="D62" i="1"/>
  <c r="E62" i="1"/>
  <c r="F62" i="1"/>
  <c r="H62" i="1"/>
  <c r="I62" i="1"/>
  <c r="J62" i="1"/>
  <c r="M62" i="1"/>
  <c r="R62" i="1"/>
  <c r="S62" i="1"/>
  <c r="T62" i="1"/>
  <c r="U62" i="1"/>
  <c r="C63" i="1"/>
  <c r="D63" i="1"/>
  <c r="E63" i="1"/>
  <c r="F63" i="1"/>
  <c r="H63" i="1"/>
  <c r="I63" i="1"/>
  <c r="J63" i="1"/>
  <c r="M63" i="1"/>
  <c r="R63" i="1"/>
  <c r="S63" i="1"/>
  <c r="T63" i="1"/>
  <c r="U63" i="1"/>
  <c r="C64" i="1"/>
  <c r="D64" i="1"/>
  <c r="E64" i="1"/>
  <c r="F64" i="1"/>
  <c r="H64" i="1"/>
  <c r="I64" i="1"/>
  <c r="J64" i="1"/>
  <c r="M64" i="1"/>
  <c r="R64" i="1"/>
  <c r="S64" i="1"/>
  <c r="T64" i="1"/>
  <c r="U64" i="1"/>
  <c r="C65" i="1"/>
  <c r="D65" i="1"/>
  <c r="E65" i="1"/>
  <c r="F65" i="1"/>
  <c r="H65" i="1"/>
  <c r="I65" i="1"/>
  <c r="J65" i="1"/>
  <c r="M65" i="1"/>
  <c r="R65" i="1"/>
  <c r="S65" i="1"/>
  <c r="T65" i="1"/>
  <c r="U65" i="1"/>
  <c r="C66" i="1"/>
  <c r="D66" i="1"/>
  <c r="E66" i="1"/>
  <c r="F66" i="1"/>
  <c r="H66" i="1"/>
  <c r="I66" i="1"/>
  <c r="J66" i="1"/>
  <c r="M66" i="1"/>
  <c r="R66" i="1"/>
  <c r="S66" i="1"/>
  <c r="T66" i="1"/>
  <c r="U66" i="1"/>
  <c r="C67" i="1"/>
  <c r="D67" i="1"/>
  <c r="E67" i="1"/>
  <c r="F67" i="1"/>
  <c r="H67" i="1"/>
  <c r="I67" i="1"/>
  <c r="J67" i="1"/>
  <c r="M67" i="1"/>
  <c r="R67" i="1"/>
  <c r="S67" i="1"/>
  <c r="T67" i="1"/>
  <c r="U67" i="1"/>
  <c r="C68" i="1"/>
  <c r="D68" i="1"/>
  <c r="E68" i="1"/>
  <c r="F68" i="1"/>
  <c r="H68" i="1"/>
  <c r="I68" i="1"/>
  <c r="J68" i="1"/>
  <c r="M68" i="1"/>
  <c r="R68" i="1"/>
  <c r="S68" i="1"/>
  <c r="T68" i="1"/>
  <c r="U68" i="1"/>
  <c r="C69" i="1"/>
  <c r="D69" i="1"/>
  <c r="E69" i="1"/>
  <c r="F69" i="1"/>
  <c r="H69" i="1"/>
  <c r="I69" i="1"/>
  <c r="J69" i="1"/>
  <c r="M69" i="1"/>
  <c r="R69" i="1"/>
  <c r="S69" i="1"/>
  <c r="T69" i="1"/>
  <c r="U69" i="1"/>
  <c r="C70" i="1"/>
  <c r="D70" i="1"/>
  <c r="E70" i="1"/>
  <c r="F70" i="1"/>
  <c r="H70" i="1"/>
  <c r="I70" i="1"/>
  <c r="J70" i="1"/>
  <c r="M70" i="1"/>
  <c r="R70" i="1"/>
  <c r="S70" i="1"/>
  <c r="T70" i="1"/>
  <c r="U70" i="1"/>
  <c r="C71" i="1"/>
  <c r="D71" i="1"/>
  <c r="E71" i="1"/>
  <c r="F71" i="1"/>
  <c r="H71" i="1"/>
  <c r="I71" i="1"/>
  <c r="J71" i="1"/>
  <c r="M71" i="1"/>
  <c r="R71" i="1"/>
  <c r="S71" i="1"/>
  <c r="T71" i="1"/>
  <c r="U71" i="1"/>
  <c r="C72" i="1"/>
  <c r="D72" i="1"/>
  <c r="E72" i="1"/>
  <c r="F72" i="1"/>
  <c r="H72" i="1"/>
  <c r="I72" i="1"/>
  <c r="J72" i="1"/>
  <c r="M72" i="1"/>
  <c r="R72" i="1"/>
  <c r="S72" i="1"/>
  <c r="T72" i="1"/>
  <c r="U72" i="1"/>
  <c r="C73" i="1"/>
  <c r="D73" i="1"/>
  <c r="E73" i="1"/>
  <c r="F73" i="1"/>
  <c r="H73" i="1"/>
  <c r="I73" i="1"/>
  <c r="J73" i="1"/>
  <c r="M73" i="1"/>
  <c r="R73" i="1"/>
  <c r="S73" i="1"/>
  <c r="T73" i="1"/>
  <c r="U73" i="1"/>
  <c r="C74" i="1"/>
  <c r="D74" i="1"/>
  <c r="E74" i="1"/>
  <c r="F74" i="1"/>
  <c r="H74" i="1"/>
  <c r="I74" i="1"/>
  <c r="J74" i="1"/>
  <c r="M74" i="1"/>
  <c r="R74" i="1"/>
  <c r="S74" i="1"/>
  <c r="T74" i="1"/>
  <c r="U74" i="1"/>
  <c r="C75" i="1"/>
  <c r="D75" i="1"/>
  <c r="E75" i="1"/>
  <c r="F75" i="1"/>
  <c r="H75" i="1"/>
  <c r="I75" i="1"/>
  <c r="J75" i="1"/>
  <c r="M75" i="1"/>
  <c r="R75" i="1"/>
  <c r="S75" i="1"/>
  <c r="T75" i="1"/>
  <c r="U75" i="1"/>
  <c r="C76" i="1"/>
  <c r="D76" i="1"/>
  <c r="E76" i="1"/>
  <c r="F76" i="1"/>
  <c r="H76" i="1"/>
  <c r="I76" i="1"/>
  <c r="J76" i="1"/>
  <c r="M76" i="1"/>
  <c r="R76" i="1"/>
  <c r="S76" i="1"/>
  <c r="T76" i="1"/>
  <c r="U76" i="1"/>
  <c r="C77" i="1"/>
  <c r="D77" i="1"/>
  <c r="E77" i="1"/>
  <c r="F77" i="1"/>
  <c r="H77" i="1"/>
  <c r="I77" i="1"/>
  <c r="J77" i="1"/>
  <c r="M77" i="1"/>
  <c r="R77" i="1"/>
  <c r="S77" i="1"/>
  <c r="T77" i="1"/>
  <c r="U77" i="1"/>
  <c r="C78" i="1"/>
  <c r="D78" i="1"/>
  <c r="E78" i="1"/>
  <c r="F78" i="1"/>
  <c r="H78" i="1"/>
  <c r="I78" i="1"/>
  <c r="J78" i="1"/>
  <c r="M78" i="1"/>
  <c r="R78" i="1"/>
  <c r="S78" i="1"/>
  <c r="T78" i="1"/>
  <c r="U78" i="1"/>
  <c r="C79" i="1"/>
  <c r="D79" i="1"/>
  <c r="E79" i="1"/>
  <c r="F79" i="1"/>
  <c r="H79" i="1"/>
  <c r="I79" i="1"/>
  <c r="J79" i="1"/>
  <c r="M79" i="1"/>
  <c r="R79" i="1"/>
  <c r="S79" i="1"/>
  <c r="T79" i="1"/>
  <c r="U79" i="1"/>
  <c r="C80" i="1"/>
  <c r="D80" i="1"/>
  <c r="E80" i="1"/>
  <c r="F80" i="1"/>
  <c r="H80" i="1"/>
  <c r="I80" i="1"/>
  <c r="J80" i="1"/>
  <c r="M80" i="1"/>
  <c r="R80" i="1"/>
  <c r="S80" i="1"/>
  <c r="T80" i="1"/>
  <c r="U80" i="1"/>
  <c r="C81" i="1"/>
  <c r="D81" i="1"/>
  <c r="E81" i="1"/>
  <c r="F81" i="1"/>
  <c r="H81" i="1"/>
  <c r="I81" i="1"/>
  <c r="J81" i="1"/>
  <c r="M81" i="1"/>
  <c r="R81" i="1"/>
  <c r="S81" i="1"/>
  <c r="T81" i="1"/>
  <c r="U81" i="1"/>
  <c r="C82" i="1"/>
  <c r="D82" i="1"/>
  <c r="E82" i="1"/>
  <c r="F82" i="1"/>
  <c r="H82" i="1"/>
  <c r="I82" i="1"/>
  <c r="J82" i="1"/>
  <c r="M82" i="1"/>
  <c r="R82" i="1"/>
  <c r="S82" i="1"/>
  <c r="T82" i="1"/>
  <c r="U82" i="1"/>
  <c r="C83" i="1"/>
  <c r="D83" i="1"/>
  <c r="E83" i="1"/>
  <c r="F83" i="1"/>
  <c r="H83" i="1"/>
  <c r="I83" i="1"/>
  <c r="J83" i="1"/>
  <c r="M83" i="1"/>
  <c r="R83" i="1"/>
  <c r="S83" i="1"/>
  <c r="T83" i="1"/>
  <c r="U83" i="1"/>
  <c r="C84" i="1"/>
  <c r="D84" i="1"/>
  <c r="E84" i="1"/>
  <c r="F84" i="1"/>
  <c r="H84" i="1"/>
  <c r="I84" i="1"/>
  <c r="J84" i="1"/>
  <c r="M84" i="1"/>
  <c r="R84" i="1"/>
  <c r="S84" i="1"/>
  <c r="T84" i="1"/>
  <c r="U84" i="1"/>
  <c r="C85" i="1"/>
  <c r="D85" i="1"/>
  <c r="E85" i="1"/>
  <c r="F85" i="1"/>
  <c r="H85" i="1"/>
  <c r="I85" i="1"/>
  <c r="J85" i="1"/>
  <c r="M85" i="1"/>
  <c r="R85" i="1"/>
  <c r="S85" i="1"/>
  <c r="T85" i="1"/>
  <c r="U85" i="1"/>
  <c r="C86" i="1"/>
  <c r="D86" i="1"/>
  <c r="E86" i="1"/>
  <c r="F86" i="1"/>
  <c r="H86" i="1"/>
  <c r="I86" i="1"/>
  <c r="J86" i="1"/>
  <c r="M86" i="1"/>
  <c r="R86" i="1"/>
  <c r="S86" i="1"/>
  <c r="T86" i="1"/>
  <c r="U86" i="1"/>
  <c r="C87" i="1"/>
  <c r="D87" i="1"/>
  <c r="E87" i="1"/>
  <c r="F87" i="1"/>
  <c r="H87" i="1"/>
  <c r="I87" i="1"/>
  <c r="J87" i="1"/>
  <c r="M87" i="1"/>
  <c r="R87" i="1"/>
  <c r="S87" i="1"/>
  <c r="T87" i="1"/>
  <c r="U87" i="1"/>
  <c r="C88" i="1"/>
  <c r="D88" i="1"/>
  <c r="E88" i="1"/>
  <c r="F88" i="1"/>
  <c r="H88" i="1"/>
  <c r="I88" i="1"/>
  <c r="J88" i="1"/>
  <c r="M88" i="1"/>
  <c r="R88" i="1"/>
  <c r="S88" i="1"/>
  <c r="T88" i="1"/>
  <c r="U88" i="1"/>
  <c r="C89" i="1"/>
  <c r="D89" i="1"/>
  <c r="E89" i="1"/>
  <c r="F89" i="1"/>
  <c r="H89" i="1"/>
  <c r="I89" i="1"/>
  <c r="J89" i="1"/>
  <c r="M89" i="1"/>
  <c r="R89" i="1"/>
  <c r="S89" i="1"/>
  <c r="T89" i="1"/>
  <c r="U89" i="1"/>
  <c r="C90" i="1"/>
  <c r="D90" i="1"/>
  <c r="E90" i="1"/>
  <c r="F90" i="1"/>
  <c r="H90" i="1"/>
  <c r="I90" i="1"/>
  <c r="J90" i="1"/>
  <c r="M90" i="1"/>
  <c r="R90" i="1"/>
  <c r="S90" i="1"/>
  <c r="T90" i="1"/>
  <c r="U90" i="1"/>
  <c r="C91" i="1"/>
  <c r="D91" i="1"/>
  <c r="E91" i="1"/>
  <c r="F91" i="1"/>
  <c r="H91" i="1"/>
  <c r="I91" i="1"/>
  <c r="J91" i="1"/>
  <c r="M91" i="1"/>
  <c r="R91" i="1"/>
  <c r="S91" i="1"/>
  <c r="T91" i="1"/>
  <c r="U91" i="1"/>
  <c r="C92" i="1"/>
  <c r="D92" i="1"/>
  <c r="E92" i="1"/>
  <c r="F92" i="1"/>
  <c r="H92" i="1"/>
  <c r="I92" i="1"/>
  <c r="J92" i="1"/>
  <c r="M92" i="1"/>
  <c r="R92" i="1"/>
  <c r="S92" i="1"/>
  <c r="T92" i="1"/>
  <c r="U92" i="1"/>
  <c r="C93" i="1"/>
  <c r="D93" i="1"/>
  <c r="E93" i="1"/>
  <c r="F93" i="1"/>
  <c r="H93" i="1"/>
  <c r="I93" i="1"/>
  <c r="J93" i="1"/>
  <c r="M93" i="1"/>
  <c r="R93" i="1"/>
  <c r="S93" i="1"/>
  <c r="T93" i="1"/>
  <c r="U93" i="1"/>
  <c r="C94" i="1"/>
  <c r="D94" i="1"/>
  <c r="E94" i="1"/>
  <c r="F94" i="1"/>
  <c r="H94" i="1"/>
  <c r="I94" i="1"/>
  <c r="J94" i="1"/>
  <c r="M94" i="1"/>
  <c r="R94" i="1"/>
  <c r="S94" i="1"/>
  <c r="T94" i="1"/>
  <c r="U94" i="1"/>
  <c r="C95" i="1"/>
  <c r="D95" i="1"/>
  <c r="E95" i="1"/>
  <c r="F95" i="1"/>
  <c r="H95" i="1"/>
  <c r="I95" i="1"/>
  <c r="J95" i="1"/>
  <c r="M95" i="1"/>
  <c r="R95" i="1"/>
  <c r="S95" i="1"/>
  <c r="T95" i="1"/>
  <c r="U95" i="1"/>
  <c r="C96" i="1"/>
  <c r="D96" i="1"/>
  <c r="E96" i="1"/>
  <c r="F96" i="1"/>
  <c r="H96" i="1"/>
  <c r="I96" i="1"/>
  <c r="J96" i="1"/>
  <c r="M96" i="1"/>
  <c r="R96" i="1"/>
  <c r="S96" i="1"/>
  <c r="T96" i="1"/>
  <c r="U96" i="1"/>
  <c r="C97" i="1"/>
  <c r="D97" i="1"/>
  <c r="E97" i="1"/>
  <c r="F97" i="1"/>
  <c r="H97" i="1"/>
  <c r="I97" i="1"/>
  <c r="J97" i="1"/>
  <c r="M97" i="1"/>
  <c r="R97" i="1"/>
  <c r="S97" i="1"/>
  <c r="T97" i="1"/>
  <c r="U97" i="1"/>
  <c r="C98" i="1"/>
  <c r="D98" i="1"/>
  <c r="E98" i="1"/>
  <c r="F98" i="1"/>
  <c r="H98" i="1"/>
  <c r="I98" i="1"/>
  <c r="J98" i="1"/>
  <c r="M98" i="1"/>
  <c r="R98" i="1"/>
  <c r="S98" i="1"/>
  <c r="T98" i="1"/>
  <c r="U98" i="1"/>
  <c r="C99" i="1"/>
  <c r="D99" i="1"/>
  <c r="E99" i="1"/>
  <c r="F99" i="1"/>
  <c r="H99" i="1"/>
  <c r="I99" i="1"/>
  <c r="J99" i="1"/>
  <c r="M99" i="1"/>
  <c r="R99" i="1"/>
  <c r="S99" i="1"/>
  <c r="T99" i="1"/>
  <c r="U99" i="1"/>
  <c r="C100" i="1"/>
  <c r="D100" i="1"/>
  <c r="E100" i="1"/>
  <c r="F100" i="1"/>
  <c r="H100" i="1"/>
  <c r="I100" i="1"/>
  <c r="J100" i="1"/>
  <c r="M100" i="1"/>
  <c r="R100" i="1"/>
  <c r="S100" i="1"/>
  <c r="T100" i="1"/>
  <c r="U100" i="1"/>
  <c r="C101" i="1"/>
  <c r="D101" i="1"/>
  <c r="E101" i="1"/>
  <c r="F101" i="1"/>
  <c r="H101" i="1"/>
  <c r="I101" i="1"/>
  <c r="J101" i="1"/>
  <c r="M101" i="1"/>
  <c r="R101" i="1"/>
  <c r="S101" i="1"/>
  <c r="T101" i="1"/>
  <c r="U101" i="1"/>
  <c r="C102" i="1"/>
  <c r="D102" i="1"/>
  <c r="E102" i="1"/>
  <c r="F102" i="1"/>
  <c r="H102" i="1"/>
  <c r="I102" i="1"/>
  <c r="J102" i="1"/>
  <c r="M102" i="1"/>
  <c r="R102" i="1"/>
  <c r="S102" i="1"/>
  <c r="T102" i="1"/>
  <c r="U102" i="1"/>
  <c r="C103" i="1"/>
  <c r="D103" i="1"/>
  <c r="E103" i="1"/>
  <c r="F103" i="1"/>
  <c r="H103" i="1"/>
  <c r="I103" i="1"/>
  <c r="J103" i="1"/>
  <c r="M103" i="1"/>
  <c r="R103" i="1"/>
  <c r="S103" i="1"/>
  <c r="T103" i="1"/>
  <c r="U103" i="1"/>
  <c r="C104" i="1"/>
  <c r="D104" i="1"/>
  <c r="E104" i="1"/>
  <c r="F104" i="1"/>
  <c r="H104" i="1"/>
  <c r="I104" i="1"/>
  <c r="J104" i="1"/>
  <c r="M104" i="1"/>
  <c r="R104" i="1"/>
  <c r="S104" i="1"/>
  <c r="T104" i="1"/>
  <c r="U104" i="1"/>
  <c r="C105" i="1"/>
  <c r="D105" i="1"/>
  <c r="E105" i="1"/>
  <c r="F105" i="1"/>
  <c r="H105" i="1"/>
  <c r="I105" i="1"/>
  <c r="J105" i="1"/>
  <c r="M105" i="1"/>
  <c r="R105" i="1"/>
  <c r="S105" i="1"/>
  <c r="T105" i="1"/>
  <c r="U105" i="1"/>
  <c r="C106" i="1"/>
  <c r="D106" i="1"/>
  <c r="E106" i="1"/>
  <c r="F106" i="1"/>
  <c r="H106" i="1"/>
  <c r="I106" i="1"/>
  <c r="J106" i="1"/>
  <c r="M106" i="1"/>
  <c r="R106" i="1"/>
  <c r="S106" i="1"/>
  <c r="T106" i="1"/>
  <c r="U106" i="1"/>
  <c r="C107" i="1"/>
  <c r="D107" i="1"/>
  <c r="E107" i="1"/>
  <c r="F107" i="1"/>
  <c r="H107" i="1"/>
  <c r="I107" i="1"/>
  <c r="J107" i="1"/>
  <c r="M107" i="1"/>
  <c r="R107" i="1"/>
  <c r="S107" i="1"/>
  <c r="T107" i="1"/>
  <c r="U107" i="1"/>
  <c r="C108" i="1"/>
  <c r="D108" i="1"/>
  <c r="E108" i="1"/>
  <c r="F108" i="1"/>
  <c r="H108" i="1"/>
  <c r="I108" i="1"/>
  <c r="J108" i="1"/>
  <c r="M108" i="1"/>
  <c r="R108" i="1"/>
  <c r="S108" i="1"/>
  <c r="T108" i="1"/>
  <c r="U108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4" i="1"/>
</calcChain>
</file>

<file path=xl/sharedStrings.xml><?xml version="1.0" encoding="utf-8"?>
<sst xmlns="http://schemas.openxmlformats.org/spreadsheetml/2006/main" count="68" uniqueCount="42">
  <si>
    <t>사모벤처</t>
  </si>
  <si>
    <t>부동산</t>
  </si>
  <si>
    <t>인프라</t>
  </si>
  <si>
    <t>Buyout</t>
  </si>
  <si>
    <t>Growth</t>
  </si>
  <si>
    <t>Venture Capital</t>
  </si>
  <si>
    <t>Fund of Fund</t>
  </si>
  <si>
    <t>Long-term Core</t>
  </si>
  <si>
    <t>Senior Credit</t>
  </si>
  <si>
    <t>Junior Credit</t>
  </si>
  <si>
    <t>국내 사모투자</t>
  </si>
  <si>
    <t>Hedge Fund</t>
  </si>
  <si>
    <t>Core RE Equity</t>
  </si>
  <si>
    <t>Non-Core RE Equity</t>
  </si>
  <si>
    <t>국내 부동산</t>
  </si>
  <si>
    <t>Core RE Debt</t>
  </si>
  <si>
    <t>Non-Core RE Debt</t>
  </si>
  <si>
    <t>Listed RE</t>
  </si>
  <si>
    <t>Core 국내 인프라</t>
  </si>
  <si>
    <t>Non-Core 국내 인프라</t>
  </si>
  <si>
    <t>Core 해외 인프라</t>
  </si>
  <si>
    <t>Non-Core 해외 인프라</t>
  </si>
  <si>
    <t>Super-Core Infrastructure</t>
  </si>
  <si>
    <t>Burgiss Buyout Index</t>
  </si>
  <si>
    <t>Burgiss Venture Capital Index</t>
  </si>
  <si>
    <t>Burgiss FoF Secondary Equity Index</t>
  </si>
  <si>
    <t>Burgiss FoF Primary Equity Index</t>
  </si>
  <si>
    <t>Burgiss Senior Loan Index</t>
  </si>
  <si>
    <t>Burgiss Mezzanine Index</t>
  </si>
  <si>
    <t>Burgiss Equity Index (Asia &amp; Pacific)</t>
  </si>
  <si>
    <t>HFRI FoF: Conservative Index</t>
  </si>
  <si>
    <t>MSCI Global Property Fund Index</t>
  </si>
  <si>
    <t>Burgiss Real Estate Equity Index (value-add, Opportunistic)</t>
  </si>
  <si>
    <t>Giliberto-Levy Commercial Mortgage Performance Index (G-L 1)</t>
  </si>
  <si>
    <t>Giliberto-Levy High-Yield Real Estate Debt Index (G-L 2)</t>
  </si>
  <si>
    <t>FTSE EPRA/NAREIT Developed Index</t>
  </si>
  <si>
    <t>Burgiss Infrastructure Equity Index (Core)</t>
  </si>
  <si>
    <t>FTSE Fixed Income Core Infrastrue Index</t>
  </si>
  <si>
    <t>날짜</t>
  </si>
  <si>
    <t>Date</t>
    <phoneticPr fontId="1" type="noConversion"/>
  </si>
  <si>
    <t>GP-Stake / Continuation Vehicle</t>
  </si>
  <si>
    <t>GP-Stake / Continuation Vehicle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</si>
</sst>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%;[Red]\-0.00%"/>
  </numFmts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177" fontId="2" fillId="0" borderId="3" xfId="0" applyNumberFormat="1" applyFont="1" applyBorder="1" applyAlignment="1">
      <alignment horizontal="center" vertical="center"/>
    </xf>
    <xf numFmtId="14" fontId="0" fillId="0" borderId="1" xfId="0" applyNumberFormat="1" applyBorder="1">
      <alignment vertical="center"/>
    </xf>
    <xf numFmtId="14" fontId="0" fillId="0" borderId="3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5" xfId="0" applyFill="1" applyBorder="1">
      <alignment vertical="center"/>
    </xf>
    <xf numFmtId="177" fontId="0" fillId="0" borderId="0" xfId="0" applyNumberFormat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50529;&#54000;&#48652;%20&#54532;&#47196;&#44536;&#47016;%20&#44592;&#54924;&#48708;&#50857;%20BM%20_Burgiss_2608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rgiss_Return"/>
      <sheetName val="Burgiss_Number"/>
      <sheetName val="Burgiss_Number_Credit"/>
      <sheetName val="Burgiss_Buyout"/>
      <sheetName val="Filter"/>
      <sheetName val="Sheet2"/>
    </sheetNames>
    <sheetDataSet>
      <sheetData sheetId="0">
        <row r="1">
          <cell r="B1" t="str">
            <v>* Currency 여부로 숫자 어떻게 바뀌는지 체크 (USD, EUR, 공란)</v>
          </cell>
        </row>
        <row r="2">
          <cell r="B2" t="str">
            <v>Return Constituent Count : True로 하면 개수 나오나봄 / 체크해보기</v>
          </cell>
        </row>
        <row r="3">
          <cell r="B3" t="str">
            <v>Fund of Fund, GP-Stake / Continuation Fund -&gt; 왜 과거 데이터 없지</v>
          </cell>
        </row>
        <row r="5">
          <cell r="B5" t="str">
            <v>Active Program</v>
          </cell>
          <cell r="C5" t="str">
            <v>Buyout</v>
          </cell>
          <cell r="D5" t="str">
            <v>Growth</v>
          </cell>
          <cell r="E5" t="str">
            <v>Venture Capital</v>
          </cell>
          <cell r="F5" t="str">
            <v>Fund of Fund</v>
          </cell>
          <cell r="G5" t="str">
            <v>Long-term Core</v>
          </cell>
          <cell r="H5" t="str">
            <v>GP-Stake / Continuation Vehicle</v>
          </cell>
          <cell r="I5" t="str">
            <v>Senior Credit</v>
          </cell>
          <cell r="J5" t="str">
            <v>Junior Credit</v>
          </cell>
          <cell r="K5" t="str">
            <v>국내 사모투자</v>
          </cell>
          <cell r="L5" t="str">
            <v>Non-Core Re Equity</v>
          </cell>
          <cell r="M5" t="str">
            <v>Core 국내 인프라</v>
          </cell>
          <cell r="N5" t="str">
            <v>Non-Core 국내 인프라</v>
          </cell>
          <cell r="O5" t="str">
            <v>Core 해외 인프라</v>
          </cell>
          <cell r="P5" t="str">
            <v>Non-Core 해외 인프라</v>
          </cell>
        </row>
        <row r="6">
          <cell r="B6" t="str">
            <v>Fund/FoF</v>
          </cell>
          <cell r="C6" t="str">
            <v>Fund</v>
          </cell>
          <cell r="D6" t="str">
            <v>Fund</v>
          </cell>
          <cell r="E6" t="str">
            <v>Fund</v>
          </cell>
          <cell r="F6" t="str">
            <v>FoF</v>
          </cell>
          <cell r="G6" t="str">
            <v>FoF</v>
          </cell>
          <cell r="H6" t="str">
            <v>FoF</v>
          </cell>
          <cell r="I6" t="str">
            <v>Fund</v>
          </cell>
          <cell r="J6" t="str">
            <v>Fund</v>
          </cell>
          <cell r="K6" t="str">
            <v>Fund</v>
          </cell>
          <cell r="L6" t="str">
            <v>Fund</v>
          </cell>
          <cell r="M6" t="str">
            <v>Fund</v>
          </cell>
          <cell r="N6" t="str">
            <v>Fund</v>
          </cell>
          <cell r="O6" t="str">
            <v>Fund</v>
          </cell>
          <cell r="P6" t="str">
            <v>Fund</v>
          </cell>
        </row>
        <row r="7">
          <cell r="B7" t="str">
            <v>AssetClass</v>
          </cell>
          <cell r="C7" t="str">
            <v>'Equity/Buyout'</v>
          </cell>
          <cell r="D7" t="str">
            <v>'Equity/Venture Capital'</v>
          </cell>
          <cell r="E7" t="str">
            <v>'Equity/Venture Capital'</v>
          </cell>
          <cell r="F7" t="str">
            <v>'Equity'</v>
          </cell>
          <cell r="G7" t="str">
            <v>'Equity'</v>
          </cell>
          <cell r="H7" t="str">
            <v>'Equity'</v>
          </cell>
          <cell r="I7" t="str">
            <v>'Private Credit/Corporate Lending/Direct Lending'</v>
          </cell>
          <cell r="J7" t="str">
            <v>'Private Credit/Corporate Lending/Opportunistic'</v>
          </cell>
          <cell r="K7" t="str">
            <v>'Equity'</v>
          </cell>
          <cell r="L7" t="str">
            <v>'Real Assets/Real Estate/Value-Added', 'Real Assets/Real Estate/Opportunistic'</v>
          </cell>
          <cell r="M7" t="str">
            <v>'Real Assets/Infrastructure/Core'</v>
          </cell>
          <cell r="N7" t="str">
            <v>'Real Assets/Infrastructure/Core'</v>
          </cell>
          <cell r="O7" t="str">
            <v>'Real Assets/Infrastructure/Core'</v>
          </cell>
          <cell r="P7" t="str">
            <v>'Real Assets/Infrastructure/Core'</v>
          </cell>
        </row>
        <row r="8">
          <cell r="B8" t="str">
            <v>Geography</v>
          </cell>
          <cell r="C8" t="str">
            <v>'Americas/North America', 'Europe/western europe'</v>
          </cell>
          <cell r="D8" t="str">
            <v>'Americas/North America', 'Europe/western europe'</v>
          </cell>
          <cell r="E8" t="str">
            <v>'Americas/North America', 'Europe/western europe'</v>
          </cell>
          <cell r="I8" t="str">
            <v>'Americas/North America', 'Europe/western europe'</v>
          </cell>
          <cell r="J8" t="str">
            <v>'Americas/North America', 'Europe/western europe'</v>
          </cell>
          <cell r="K8" t="str">
            <v>'Asia &amp; Pacific'</v>
          </cell>
          <cell r="L8" t="str">
            <v>'Americas/North America', 'Europe/western europe'</v>
          </cell>
          <cell r="M8" t="str">
            <v>'Americas/North America', 'Europe/western europe'</v>
          </cell>
          <cell r="N8" t="str">
            <v>'Americas/North America', 'Europe/western europe'</v>
          </cell>
          <cell r="O8" t="str">
            <v>'Americas/North America', 'Europe/western europe'</v>
          </cell>
          <cell r="P8" t="str">
            <v>'Americas/North America', 'Europe/western europe'</v>
          </cell>
        </row>
        <row r="9">
          <cell r="B9" t="str">
            <v>FundSize.USD</v>
          </cell>
          <cell r="C9">
            <v>500</v>
          </cell>
          <cell r="D9">
            <v>500</v>
          </cell>
          <cell r="E9">
            <v>500</v>
          </cell>
          <cell r="F9">
            <v>500</v>
          </cell>
          <cell r="G9">
            <v>500</v>
          </cell>
          <cell r="H9">
            <v>500</v>
          </cell>
          <cell r="I9">
            <v>500</v>
          </cell>
          <cell r="J9">
            <v>500</v>
          </cell>
          <cell r="K9">
            <v>500</v>
          </cell>
          <cell r="L9">
            <v>300</v>
          </cell>
          <cell r="M9">
            <v>500</v>
          </cell>
          <cell r="N9">
            <v>500</v>
          </cell>
          <cell r="O9">
            <v>500</v>
          </cell>
          <cell r="P9">
            <v>500</v>
          </cell>
        </row>
        <row r="10">
          <cell r="B10" t="str">
            <v>Seniority</v>
          </cell>
          <cell r="I10" t="str">
            <v>'Senior'</v>
          </cell>
        </row>
        <row r="11">
          <cell r="B11" t="str">
            <v>Market</v>
          </cell>
          <cell r="F11" t="str">
            <v>'Secondary'</v>
          </cell>
          <cell r="G11" t="str">
            <v>'Primary'</v>
          </cell>
          <cell r="H11" t="str">
            <v>'Secondary'</v>
          </cell>
        </row>
        <row r="12">
          <cell r="B12" t="str">
            <v>Currency</v>
          </cell>
        </row>
        <row r="13">
          <cell r="B13" t="str">
            <v>Proxy</v>
          </cell>
          <cell r="C13" t="str">
            <v>Burgiss Buyout Index</v>
          </cell>
          <cell r="D13" t="str">
            <v>Burgiss Venture Capital Index</v>
          </cell>
          <cell r="E13" t="str">
            <v>Burgiss Venture Capital Index</v>
          </cell>
          <cell r="F13" t="str">
            <v>Burgiss FoF Secondary Equity Index</v>
          </cell>
          <cell r="G13" t="str">
            <v>Burgiss FoF Primary Equity Index</v>
          </cell>
          <cell r="H13" t="str">
            <v>Burgiss FoF Secondary Equity Index</v>
          </cell>
          <cell r="I13" t="str">
            <v>Burgiss Senior Loan Index</v>
          </cell>
          <cell r="J13" t="str">
            <v>Burgiss Mezzanine Index</v>
          </cell>
          <cell r="K13" t="str">
            <v>Burgiss Equity Index (Asia &amp; Pacific)</v>
          </cell>
          <cell r="L13" t="str">
            <v>Burgiss Real Estate Equity Index (Value-add, Opportunistic)</v>
          </cell>
          <cell r="M13" t="str">
            <v>Burgiss Infrastructure Equity Index (Core)</v>
          </cell>
          <cell r="N13" t="str">
            <v>Burgiss Infrastructure Equity Index (Core)</v>
          </cell>
          <cell r="O13" t="str">
            <v>Burgiss Infrastructure Equity Index (Core)</v>
          </cell>
          <cell r="P13" t="str">
            <v>Burgiss Infrastructure Equity Index (Core)</v>
          </cell>
        </row>
        <row r="15">
          <cell r="B15" t="str">
            <v>End Date</v>
          </cell>
          <cell r="C15" t="str">
            <v>Pooled IRR</v>
          </cell>
          <cell r="D15" t="str">
            <v>Pooled IRR</v>
          </cell>
          <cell r="E15" t="str">
            <v>Pooled IRR</v>
          </cell>
          <cell r="F15" t="str">
            <v>Pooled IRR</v>
          </cell>
          <cell r="G15" t="str">
            <v>Pooled IRR</v>
          </cell>
          <cell r="H15" t="str">
            <v>Pooled IRR</v>
          </cell>
          <cell r="I15" t="str">
            <v>Pooled IRR</v>
          </cell>
          <cell r="J15" t="str">
            <v>Pooled IRR</v>
          </cell>
          <cell r="K15" t="str">
            <v>Pooled IRR</v>
          </cell>
          <cell r="L15" t="str">
            <v>Pooled IRR</v>
          </cell>
          <cell r="M15" t="str">
            <v>Pooled IRR</v>
          </cell>
          <cell r="N15" t="str">
            <v>Pooled IRR</v>
          </cell>
          <cell r="O15" t="str">
            <v>Pooled IRR</v>
          </cell>
          <cell r="P15" t="str">
            <v>Pooled IRR</v>
          </cell>
        </row>
        <row r="16">
          <cell r="B16">
            <v>36616</v>
          </cell>
          <cell r="C16">
            <v>0.1103</v>
          </cell>
          <cell r="D16">
            <v>0.15329999999999999</v>
          </cell>
          <cell r="E16">
            <v>0.15329999999999999</v>
          </cell>
          <cell r="F16" t="str">
            <v>#INCALCULABLE - Peer group has no funds</v>
          </cell>
          <cell r="G16">
            <v>5.3E-3</v>
          </cell>
          <cell r="H16" t="str">
            <v>#INCALCULABLE - Peer group has no funds</v>
          </cell>
          <cell r="I16" t="str">
            <v>#INCALCULABLE - Peer group has no funds</v>
          </cell>
          <cell r="J16">
            <v>1.14E-2</v>
          </cell>
          <cell r="K16">
            <v>3.8300000000000001E-2</v>
          </cell>
          <cell r="L16">
            <v>3.3399999999999999E-2</v>
          </cell>
          <cell r="M16" t="str">
            <v>#INCALCULABLE - Peer group has no funds</v>
          </cell>
          <cell r="N16" t="str">
            <v>#INCALCULABLE - Peer group has no funds</v>
          </cell>
          <cell r="O16" t="str">
            <v>#INCALCULABLE - Peer group has no funds</v>
          </cell>
          <cell r="P16" t="str">
            <v>#INCALCULABLE - Peer group has no funds</v>
          </cell>
        </row>
        <row r="17">
          <cell r="B17">
            <v>36707</v>
          </cell>
          <cell r="C17">
            <v>-8.9999999999999998E-4</v>
          </cell>
          <cell r="D17">
            <v>7.51E-2</v>
          </cell>
          <cell r="E17">
            <v>7.51E-2</v>
          </cell>
          <cell r="F17" t="str">
            <v>#INCALCULABLE - Peer group has no funds</v>
          </cell>
          <cell r="G17">
            <v>3.6299999999999999E-2</v>
          </cell>
          <cell r="H17" t="str">
            <v>#INCALCULABLE - Peer group has no funds</v>
          </cell>
          <cell r="I17" t="str">
            <v>#INCALCULABLE - Peer group has no funds</v>
          </cell>
          <cell r="J17">
            <v>1.5900000000000001E-2</v>
          </cell>
          <cell r="K17">
            <v>-8.5199999999999998E-2</v>
          </cell>
          <cell r="L17">
            <v>5.6599999999999998E-2</v>
          </cell>
          <cell r="M17" t="str">
            <v>#INCALCULABLE - Peer group has no funds</v>
          </cell>
          <cell r="N17" t="str">
            <v>#INCALCULABLE - Peer group has no funds</v>
          </cell>
          <cell r="O17" t="str">
            <v>#INCALCULABLE - Peer group has no funds</v>
          </cell>
          <cell r="P17" t="str">
            <v>#INCALCULABLE - Peer group has no funds</v>
          </cell>
        </row>
        <row r="18">
          <cell r="B18">
            <v>36799</v>
          </cell>
          <cell r="C18">
            <v>-2.9499999999999998E-2</v>
          </cell>
          <cell r="D18">
            <v>0.1497</v>
          </cell>
          <cell r="E18">
            <v>0.1497</v>
          </cell>
          <cell r="F18" t="str">
            <v>#INCALCULABLE - Peer group has no funds</v>
          </cell>
          <cell r="G18">
            <v>8.8999999999999999E-3</v>
          </cell>
          <cell r="H18" t="str">
            <v>#INCALCULABLE - Peer group has no funds</v>
          </cell>
          <cell r="I18" t="str">
            <v>#INCALCULABLE - Peer group has no funds</v>
          </cell>
          <cell r="J18">
            <v>3.6799999999999999E-2</v>
          </cell>
          <cell r="K18">
            <v>-4.53E-2</v>
          </cell>
          <cell r="L18">
            <v>1.14E-2</v>
          </cell>
          <cell r="M18" t="str">
            <v>#INCALCULABLE - Peer group has no funds</v>
          </cell>
          <cell r="N18" t="str">
            <v>#INCALCULABLE - Peer group has no funds</v>
          </cell>
          <cell r="O18" t="str">
            <v>#INCALCULABLE - Peer group has no funds</v>
          </cell>
          <cell r="P18" t="str">
            <v>#INCALCULABLE - Peer group has no funds</v>
          </cell>
        </row>
        <row r="19">
          <cell r="B19">
            <v>36891</v>
          </cell>
          <cell r="C19">
            <v>-3.0599999999999999E-2</v>
          </cell>
          <cell r="D19">
            <v>-0.1013</v>
          </cell>
          <cell r="E19">
            <v>-0.1013</v>
          </cell>
          <cell r="F19" t="str">
            <v>#INCALCULABLE - Peer group has no funds</v>
          </cell>
          <cell r="G19">
            <v>-5.7500000000000002E-2</v>
          </cell>
          <cell r="H19" t="str">
            <v>#INCALCULABLE - Peer group has no funds</v>
          </cell>
          <cell r="I19" t="str">
            <v>#INCALCULABLE - Peer group has no funds</v>
          </cell>
          <cell r="J19">
            <v>-1.83E-2</v>
          </cell>
          <cell r="K19">
            <v>-7.2900000000000006E-2</v>
          </cell>
          <cell r="L19">
            <v>6.6600000000000006E-2</v>
          </cell>
          <cell r="M19" t="str">
            <v>#INCALCULABLE - Peer group has no funds</v>
          </cell>
          <cell r="N19" t="str">
            <v>#INCALCULABLE - Peer group has no funds</v>
          </cell>
          <cell r="O19" t="str">
            <v>#INCALCULABLE - Peer group has no funds</v>
          </cell>
          <cell r="P19" t="str">
            <v>#INCALCULABLE - Peer group has no funds</v>
          </cell>
        </row>
        <row r="20">
          <cell r="B20">
            <v>36981</v>
          </cell>
          <cell r="C20">
            <v>-6.3500000000000001E-2</v>
          </cell>
          <cell r="D20">
            <v>-8.9899999999999994E-2</v>
          </cell>
          <cell r="E20">
            <v>-8.9899999999999994E-2</v>
          </cell>
          <cell r="F20" t="str">
            <v>#INCALCULABLE - Peer group has no funds</v>
          </cell>
          <cell r="G20">
            <v>-1.1900000000000001E-2</v>
          </cell>
          <cell r="H20" t="str">
            <v>#INCALCULABLE - Peer group has no funds</v>
          </cell>
          <cell r="I20" t="str">
            <v>#INCALCULABLE - Peer group has no funds</v>
          </cell>
          <cell r="J20">
            <v>6.4699999999999994E-2</v>
          </cell>
          <cell r="K20">
            <v>9.1000000000000004E-3</v>
          </cell>
          <cell r="L20">
            <v>3.1199999999999999E-2</v>
          </cell>
          <cell r="M20" t="str">
            <v>#INCALCULABLE - Peer group has no funds</v>
          </cell>
          <cell r="N20" t="str">
            <v>#INCALCULABLE - Peer group has no funds</v>
          </cell>
          <cell r="O20" t="str">
            <v>#INCALCULABLE - Peer group has no funds</v>
          </cell>
          <cell r="P20" t="str">
            <v>#INCALCULABLE - Peer group has no funds</v>
          </cell>
        </row>
        <row r="21">
          <cell r="B21">
            <v>37072</v>
          </cell>
          <cell r="C21">
            <v>2.3800000000000002E-2</v>
          </cell>
          <cell r="D21">
            <v>-7.46E-2</v>
          </cell>
          <cell r="E21">
            <v>-7.46E-2</v>
          </cell>
          <cell r="F21" t="str">
            <v>#INCALCULABLE - Peer group has no funds</v>
          </cell>
          <cell r="G21">
            <v>-6.08E-2</v>
          </cell>
          <cell r="H21" t="str">
            <v>#INCALCULABLE - Peer group has no funds</v>
          </cell>
          <cell r="I21" t="str">
            <v>#INCALCULABLE - Peer group has no funds</v>
          </cell>
          <cell r="J21">
            <v>2.9000000000000001E-2</v>
          </cell>
          <cell r="K21">
            <v>-1.2999999999999999E-2</v>
          </cell>
          <cell r="L21">
            <v>6.9999999999999999E-4</v>
          </cell>
          <cell r="M21" t="str">
            <v>#INCALCULABLE - Peer group has no funds</v>
          </cell>
          <cell r="N21" t="str">
            <v>#INCALCULABLE - Peer group has no funds</v>
          </cell>
          <cell r="O21" t="str">
            <v>#INCALCULABLE - Peer group has no funds</v>
          </cell>
          <cell r="P21" t="str">
            <v>#INCALCULABLE - Peer group has no funds</v>
          </cell>
        </row>
        <row r="22">
          <cell r="B22">
            <v>37164</v>
          </cell>
          <cell r="C22">
            <v>-8.09E-2</v>
          </cell>
          <cell r="D22">
            <v>-0.15049999999999999</v>
          </cell>
          <cell r="E22">
            <v>-0.15049999999999999</v>
          </cell>
          <cell r="F22" t="str">
            <v>#INCALCULABLE - Peer group has no funds</v>
          </cell>
          <cell r="G22">
            <v>-5.45E-2</v>
          </cell>
          <cell r="H22" t="str">
            <v>#INCALCULABLE - Peer group has no funds</v>
          </cell>
          <cell r="I22" t="str">
            <v>#INCALCULABLE - Peer group has no funds</v>
          </cell>
          <cell r="J22">
            <v>1.49E-2</v>
          </cell>
          <cell r="K22">
            <v>-2.5399999999999999E-2</v>
          </cell>
          <cell r="L22">
            <v>-6.1999999999999998E-3</v>
          </cell>
          <cell r="M22" t="str">
            <v>#INCALCULABLE - Peer group has no funds</v>
          </cell>
          <cell r="N22" t="str">
            <v>#INCALCULABLE - Peer group has no funds</v>
          </cell>
          <cell r="O22" t="str">
            <v>#INCALCULABLE - Peer group has no funds</v>
          </cell>
          <cell r="P22" t="str">
            <v>#INCALCULABLE - Peer group has no funds</v>
          </cell>
        </row>
        <row r="23">
          <cell r="B23">
            <v>37256</v>
          </cell>
          <cell r="C23">
            <v>-1.1000000000000001E-3</v>
          </cell>
          <cell r="D23">
            <v>-7.7899999999999997E-2</v>
          </cell>
          <cell r="E23">
            <v>-7.7899999999999997E-2</v>
          </cell>
          <cell r="F23" t="str">
            <v>#INCALCULABLE - Peer group has no funds</v>
          </cell>
          <cell r="G23">
            <v>-8.1199999999999994E-2</v>
          </cell>
          <cell r="H23" t="str">
            <v>#INCALCULABLE - Peer group has no funds</v>
          </cell>
          <cell r="I23" t="str">
            <v>#INCALCULABLE - Peer group has no funds</v>
          </cell>
          <cell r="J23">
            <v>2.1000000000000001E-2</v>
          </cell>
          <cell r="K23">
            <v>-6.3700000000000007E-2</v>
          </cell>
          <cell r="L23">
            <v>3.6700000000000003E-2</v>
          </cell>
          <cell r="M23" t="str">
            <v>#INCALCULABLE - Peer group has no funds</v>
          </cell>
          <cell r="N23" t="str">
            <v>#INCALCULABLE - Peer group has no funds</v>
          </cell>
          <cell r="O23" t="str">
            <v>#INCALCULABLE - Peer group has no funds</v>
          </cell>
          <cell r="P23" t="str">
            <v>#INCALCULABLE - Peer group has no funds</v>
          </cell>
        </row>
        <row r="24">
          <cell r="B24">
            <v>37346</v>
          </cell>
          <cell r="C24">
            <v>-2.3E-3</v>
          </cell>
          <cell r="D24">
            <v>-9.4799999999999995E-2</v>
          </cell>
          <cell r="E24">
            <v>-9.4799999999999995E-2</v>
          </cell>
          <cell r="F24">
            <v>3.27E-2</v>
          </cell>
          <cell r="G24">
            <v>-2.5000000000000001E-2</v>
          </cell>
          <cell r="H24">
            <v>3.27E-2</v>
          </cell>
          <cell r="I24" t="str">
            <v>#INCALCULABLE - Peer group has no funds</v>
          </cell>
          <cell r="J24">
            <v>3.7699999999999997E-2</v>
          </cell>
          <cell r="K24">
            <v>1.41E-2</v>
          </cell>
          <cell r="L24">
            <v>1.43E-2</v>
          </cell>
          <cell r="M24" t="str">
            <v>#INCALCULABLE - Peer group has no funds</v>
          </cell>
          <cell r="N24" t="str">
            <v>#INCALCULABLE - Peer group has no funds</v>
          </cell>
          <cell r="O24" t="str">
            <v>#INCALCULABLE - Peer group has no funds</v>
          </cell>
          <cell r="P24" t="str">
            <v>#INCALCULABLE - Peer group has no funds</v>
          </cell>
        </row>
        <row r="25">
          <cell r="B25">
            <v>37437</v>
          </cell>
          <cell r="C25">
            <v>-1.35E-2</v>
          </cell>
          <cell r="D25">
            <v>-0.1303</v>
          </cell>
          <cell r="E25">
            <v>-0.1303</v>
          </cell>
          <cell r="F25">
            <v>1.7399999999999999E-2</v>
          </cell>
          <cell r="G25">
            <v>-7.1099999999999997E-2</v>
          </cell>
          <cell r="H25">
            <v>1.7399999999999999E-2</v>
          </cell>
          <cell r="I25" t="str">
            <v>#INCALCULABLE - Peer group has no funds</v>
          </cell>
          <cell r="J25">
            <v>-1E-3</v>
          </cell>
          <cell r="K25">
            <v>-5.0500000000000003E-2</v>
          </cell>
          <cell r="L25">
            <v>-4.3E-3</v>
          </cell>
          <cell r="M25" t="str">
            <v>#INCALCULABLE - Peer group has no funds</v>
          </cell>
          <cell r="N25" t="str">
            <v>#INCALCULABLE - Peer group has no funds</v>
          </cell>
          <cell r="O25" t="str">
            <v>#INCALCULABLE - Peer group has no funds</v>
          </cell>
          <cell r="P25" t="str">
            <v>#INCALCULABLE - Peer group has no funds</v>
          </cell>
        </row>
        <row r="26">
          <cell r="B26">
            <v>37529</v>
          </cell>
          <cell r="C26">
            <v>-3.9800000000000002E-2</v>
          </cell>
          <cell r="D26">
            <v>-9.9099999999999994E-2</v>
          </cell>
          <cell r="E26">
            <v>-9.9099999999999994E-2</v>
          </cell>
          <cell r="F26">
            <v>-3.3399999999999999E-2</v>
          </cell>
          <cell r="G26">
            <v>-5.9299999999999999E-2</v>
          </cell>
          <cell r="H26">
            <v>-3.3399999999999999E-2</v>
          </cell>
          <cell r="I26" t="str">
            <v>#INCALCULABLE - Peer group has no funds</v>
          </cell>
          <cell r="J26">
            <v>-5.1900000000000002E-2</v>
          </cell>
          <cell r="K26">
            <v>-9.2600000000000002E-2</v>
          </cell>
          <cell r="L26">
            <v>3.8999999999999998E-3</v>
          </cell>
          <cell r="M26" t="str">
            <v>#INCALCULABLE - Peer group has no funds</v>
          </cell>
          <cell r="N26" t="str">
            <v>#INCALCULABLE - Peer group has no funds</v>
          </cell>
          <cell r="O26" t="str">
            <v>#INCALCULABLE - Peer group has no funds</v>
          </cell>
          <cell r="P26" t="str">
            <v>#INCALCULABLE - Peer group has no funds</v>
          </cell>
        </row>
        <row r="27">
          <cell r="B27">
            <v>37621</v>
          </cell>
          <cell r="C27">
            <v>2.0799999999999999E-2</v>
          </cell>
          <cell r="D27">
            <v>-0.1076</v>
          </cell>
          <cell r="E27">
            <v>-0.1076</v>
          </cell>
          <cell r="F27">
            <v>-3.3599999999999998E-2</v>
          </cell>
          <cell r="G27">
            <v>-7.6300000000000007E-2</v>
          </cell>
          <cell r="H27">
            <v>-3.3599999999999998E-2</v>
          </cell>
          <cell r="I27" t="str">
            <v>#INCALCULABLE - Peer group has no funds</v>
          </cell>
          <cell r="J27">
            <v>7.4099999999999999E-2</v>
          </cell>
          <cell r="K27">
            <v>6.7000000000000002E-3</v>
          </cell>
          <cell r="L27">
            <v>-7.7000000000000002E-3</v>
          </cell>
          <cell r="M27" t="str">
            <v>#INCALCULABLE - Peer group has no funds</v>
          </cell>
          <cell r="N27" t="str">
            <v>#INCALCULABLE - Peer group has no funds</v>
          </cell>
          <cell r="O27" t="str">
            <v>#INCALCULABLE - Peer group has no funds</v>
          </cell>
          <cell r="P27" t="str">
            <v>#INCALCULABLE - Peer group has no funds</v>
          </cell>
        </row>
        <row r="28">
          <cell r="B28">
            <v>37711</v>
          </cell>
          <cell r="C28">
            <v>4.1999999999999997E-3</v>
          </cell>
          <cell r="D28">
            <v>-4.6800000000000001E-2</v>
          </cell>
          <cell r="E28">
            <v>-4.6800000000000001E-2</v>
          </cell>
          <cell r="F28">
            <v>-7.1999999999999998E-3</v>
          </cell>
          <cell r="G28">
            <v>-3.15E-2</v>
          </cell>
          <cell r="H28">
            <v>-7.1999999999999998E-3</v>
          </cell>
          <cell r="I28" t="str">
            <v>#INCALCULABLE - Peer group has no funds</v>
          </cell>
          <cell r="J28">
            <v>1.5100000000000001E-2</v>
          </cell>
          <cell r="K28">
            <v>-4.4299999999999999E-2</v>
          </cell>
          <cell r="L28">
            <v>1.7399999999999999E-2</v>
          </cell>
          <cell r="M28" t="str">
            <v>#INCALCULABLE - Peer group has no funds</v>
          </cell>
          <cell r="N28" t="str">
            <v>#INCALCULABLE - Peer group has no funds</v>
          </cell>
          <cell r="O28" t="str">
            <v>#INCALCULABLE - Peer group has no funds</v>
          </cell>
          <cell r="P28" t="str">
            <v>#INCALCULABLE - Peer group has no funds</v>
          </cell>
        </row>
        <row r="29">
          <cell r="B29">
            <v>37802</v>
          </cell>
          <cell r="C29">
            <v>7.22E-2</v>
          </cell>
          <cell r="D29">
            <v>-1.03E-2</v>
          </cell>
          <cell r="E29">
            <v>-1.03E-2</v>
          </cell>
          <cell r="F29">
            <v>2.2200000000000001E-2</v>
          </cell>
          <cell r="G29">
            <v>2.01E-2</v>
          </cell>
          <cell r="H29">
            <v>2.2200000000000001E-2</v>
          </cell>
          <cell r="I29" t="str">
            <v>#INCALCULABLE - Peer group has no funds</v>
          </cell>
          <cell r="J29">
            <v>0.1353</v>
          </cell>
          <cell r="K29">
            <v>6.2300000000000001E-2</v>
          </cell>
          <cell r="L29">
            <v>1.34E-2</v>
          </cell>
          <cell r="M29" t="str">
            <v>#INCALCULABLE - Peer group has no funds</v>
          </cell>
          <cell r="N29" t="str">
            <v>#INCALCULABLE - Peer group has no funds</v>
          </cell>
          <cell r="O29" t="str">
            <v>#INCALCULABLE - Peer group has no funds</v>
          </cell>
          <cell r="P29" t="str">
            <v>#INCALCULABLE - Peer group has no funds</v>
          </cell>
        </row>
        <row r="30">
          <cell r="B30">
            <v>37894</v>
          </cell>
          <cell r="C30">
            <v>4.3400000000000001E-2</v>
          </cell>
          <cell r="D30">
            <v>-3.0499999999999999E-2</v>
          </cell>
          <cell r="E30">
            <v>-3.0499999999999999E-2</v>
          </cell>
          <cell r="F30">
            <v>3.9800000000000002E-2</v>
          </cell>
          <cell r="G30">
            <v>2.7000000000000001E-3</v>
          </cell>
          <cell r="H30">
            <v>3.9800000000000002E-2</v>
          </cell>
          <cell r="I30" t="str">
            <v>#INCALCULABLE - Peer group has no funds</v>
          </cell>
          <cell r="J30">
            <v>5.8799999999999998E-2</v>
          </cell>
          <cell r="K30">
            <v>0.10349999999999999</v>
          </cell>
          <cell r="L30">
            <v>1.6500000000000001E-2</v>
          </cell>
          <cell r="M30" t="str">
            <v>#INCALCULABLE - Peer group has no funds</v>
          </cell>
          <cell r="N30" t="str">
            <v>#INCALCULABLE - Peer group has no funds</v>
          </cell>
          <cell r="O30" t="str">
            <v>#INCALCULABLE - Peer group has no funds</v>
          </cell>
          <cell r="P30" t="str">
            <v>#INCALCULABLE - Peer group has no funds</v>
          </cell>
        </row>
        <row r="31">
          <cell r="B31">
            <v>37986</v>
          </cell>
          <cell r="C31">
            <v>0.126</v>
          </cell>
          <cell r="D31">
            <v>1.67E-2</v>
          </cell>
          <cell r="E31">
            <v>1.67E-2</v>
          </cell>
          <cell r="F31">
            <v>0.1883</v>
          </cell>
          <cell r="G31">
            <v>8.2600000000000007E-2</v>
          </cell>
          <cell r="H31">
            <v>0.1883</v>
          </cell>
          <cell r="I31" t="str">
            <v>#INCALCULABLE - Peer group has no funds</v>
          </cell>
          <cell r="J31">
            <v>7.5499999999999998E-2</v>
          </cell>
          <cell r="K31">
            <v>0.15210000000000001</v>
          </cell>
          <cell r="L31">
            <v>5.7000000000000002E-2</v>
          </cell>
          <cell r="M31" t="str">
            <v>#INCALCULABLE - Peer group has no funds</v>
          </cell>
          <cell r="N31" t="str">
            <v>#INCALCULABLE - Peer group has no funds</v>
          </cell>
          <cell r="O31" t="str">
            <v>#INCALCULABLE - Peer group has no funds</v>
          </cell>
          <cell r="P31" t="str">
            <v>#INCALCULABLE - Peer group has no funds</v>
          </cell>
        </row>
        <row r="32">
          <cell r="B32">
            <v>38077</v>
          </cell>
          <cell r="C32">
            <v>1.5900000000000001E-2</v>
          </cell>
          <cell r="D32">
            <v>1.52E-2</v>
          </cell>
          <cell r="E32">
            <v>1.52E-2</v>
          </cell>
          <cell r="F32">
            <v>3.6200000000000003E-2</v>
          </cell>
          <cell r="G32">
            <v>-1.21E-2</v>
          </cell>
          <cell r="H32">
            <v>3.6200000000000003E-2</v>
          </cell>
          <cell r="I32" t="str">
            <v>#INCALCULABLE - Peer group has no funds</v>
          </cell>
          <cell r="J32">
            <v>3.5099999999999999E-2</v>
          </cell>
          <cell r="K32">
            <v>0.13769999999999999</v>
          </cell>
          <cell r="L32">
            <v>1.84E-2</v>
          </cell>
          <cell r="M32" t="str">
            <v>#INCALCULABLE - Peer group has no funds</v>
          </cell>
          <cell r="N32" t="str">
            <v>#INCALCULABLE - Peer group has no funds</v>
          </cell>
          <cell r="O32" t="str">
            <v>#INCALCULABLE - Peer group has no funds</v>
          </cell>
          <cell r="P32" t="str">
            <v>#INCALCULABLE - Peer group has no funds</v>
          </cell>
        </row>
        <row r="33">
          <cell r="B33">
            <v>38168</v>
          </cell>
          <cell r="C33">
            <v>5.1900000000000002E-2</v>
          </cell>
          <cell r="D33">
            <v>3.0000000000000001E-3</v>
          </cell>
          <cell r="E33">
            <v>3.0000000000000001E-3</v>
          </cell>
          <cell r="F33">
            <v>4.8300000000000003E-2</v>
          </cell>
          <cell r="G33">
            <v>2.4500000000000001E-2</v>
          </cell>
          <cell r="H33">
            <v>4.8300000000000003E-2</v>
          </cell>
          <cell r="I33" t="str">
            <v>#INCALCULABLE - Peer group has no funds</v>
          </cell>
          <cell r="J33">
            <v>3.1300000000000001E-2</v>
          </cell>
          <cell r="K33">
            <v>2.6499999999999999E-2</v>
          </cell>
          <cell r="L33">
            <v>2.9600000000000001E-2</v>
          </cell>
          <cell r="M33" t="str">
            <v>#INCALCULABLE - Peer group has no funds</v>
          </cell>
          <cell r="N33" t="str">
            <v>#INCALCULABLE - Peer group has no funds</v>
          </cell>
          <cell r="O33" t="str">
            <v>#INCALCULABLE - Peer group has no funds</v>
          </cell>
          <cell r="P33" t="str">
            <v>#INCALCULABLE - Peer group has no funds</v>
          </cell>
        </row>
        <row r="34">
          <cell r="B34">
            <v>38260</v>
          </cell>
          <cell r="C34">
            <v>2.3699999999999999E-2</v>
          </cell>
          <cell r="D34">
            <v>6.5299999999999997E-2</v>
          </cell>
          <cell r="E34">
            <v>6.5299999999999997E-2</v>
          </cell>
          <cell r="F34">
            <v>4.7399999999999998E-2</v>
          </cell>
          <cell r="G34">
            <v>2.4199999999999999E-2</v>
          </cell>
          <cell r="H34">
            <v>4.7399999999999998E-2</v>
          </cell>
          <cell r="I34" t="str">
            <v>#INCALCULABLE - Peer group has no funds</v>
          </cell>
          <cell r="J34">
            <v>4.5199999999999997E-2</v>
          </cell>
          <cell r="K34">
            <v>3.7699999999999997E-2</v>
          </cell>
          <cell r="L34">
            <v>3.8E-3</v>
          </cell>
          <cell r="M34" t="str">
            <v>#INCALCULABLE - Peer group has no funds</v>
          </cell>
          <cell r="N34" t="str">
            <v>#INCALCULABLE - Peer group has no funds</v>
          </cell>
          <cell r="O34" t="str">
            <v>#INCALCULABLE - Peer group has no funds</v>
          </cell>
          <cell r="P34" t="str">
            <v>#INCALCULABLE - Peer group has no funds</v>
          </cell>
        </row>
        <row r="35">
          <cell r="B35">
            <v>38352</v>
          </cell>
          <cell r="C35">
            <v>0.15429999999999999</v>
          </cell>
          <cell r="D35">
            <v>5.9700000000000003E-2</v>
          </cell>
          <cell r="E35">
            <v>5.9700000000000003E-2</v>
          </cell>
          <cell r="F35">
            <v>0.15060000000000001</v>
          </cell>
          <cell r="G35">
            <v>9.5899999999999999E-2</v>
          </cell>
          <cell r="H35">
            <v>0.15060000000000001</v>
          </cell>
          <cell r="I35" t="str">
            <v>#INCALCULABLE - Peer group has no funds</v>
          </cell>
          <cell r="J35">
            <v>0.10100000000000001</v>
          </cell>
          <cell r="K35">
            <v>0.12189999999999999</v>
          </cell>
          <cell r="L35">
            <v>0.17019999999999999</v>
          </cell>
          <cell r="M35" t="str">
            <v>#INCALCULABLE - Peer group has no funds</v>
          </cell>
          <cell r="N35" t="str">
            <v>#INCALCULABLE - Peer group has no funds</v>
          </cell>
          <cell r="O35" t="str">
            <v>#INCALCULABLE - Peer group has no funds</v>
          </cell>
          <cell r="P35" t="str">
            <v>#INCALCULABLE - Peer group has no funds</v>
          </cell>
        </row>
        <row r="36">
          <cell r="B36">
            <v>38442</v>
          </cell>
          <cell r="C36">
            <v>8.3000000000000001E-3</v>
          </cell>
          <cell r="D36">
            <v>-4.7999999999999996E-3</v>
          </cell>
          <cell r="E36">
            <v>-4.7999999999999996E-3</v>
          </cell>
          <cell r="F36">
            <v>6.3E-3</v>
          </cell>
          <cell r="G36">
            <v>-8.6E-3</v>
          </cell>
          <cell r="H36">
            <v>6.3E-3</v>
          </cell>
          <cell r="I36" t="str">
            <v>#INCALCULABLE - Peer group has no funds</v>
          </cell>
          <cell r="J36">
            <v>2.6100000000000002E-2</v>
          </cell>
          <cell r="K36">
            <v>3.8699999999999998E-2</v>
          </cell>
          <cell r="L36">
            <v>2.8299999999999999E-2</v>
          </cell>
          <cell r="M36" t="str">
            <v>#INCALCULABLE - Peer group has no funds</v>
          </cell>
          <cell r="N36" t="str">
            <v>#INCALCULABLE - Peer group has no funds</v>
          </cell>
          <cell r="O36" t="str">
            <v>#INCALCULABLE - Peer group has no funds</v>
          </cell>
          <cell r="P36" t="str">
            <v>#INCALCULABLE - Peer group has no funds</v>
          </cell>
        </row>
        <row r="37">
          <cell r="B37">
            <v>38533</v>
          </cell>
          <cell r="C37">
            <v>8.8400000000000006E-2</v>
          </cell>
          <cell r="D37">
            <v>2.5999999999999999E-2</v>
          </cell>
          <cell r="E37">
            <v>2.5999999999999999E-2</v>
          </cell>
          <cell r="F37">
            <v>5.9299999999999999E-2</v>
          </cell>
          <cell r="G37">
            <v>1.06E-2</v>
          </cell>
          <cell r="H37">
            <v>5.9299999999999999E-2</v>
          </cell>
          <cell r="I37" t="str">
            <v>#INCALCULABLE - Peer group has no funds</v>
          </cell>
          <cell r="J37">
            <v>8.2000000000000007E-3</v>
          </cell>
          <cell r="K37">
            <v>-1.3299999999999999E-2</v>
          </cell>
          <cell r="L37">
            <v>6.1699999999999998E-2</v>
          </cell>
          <cell r="M37" t="str">
            <v>#INCALCULABLE - Peer group has no funds</v>
          </cell>
          <cell r="N37" t="str">
            <v>#INCALCULABLE - Peer group has no funds</v>
          </cell>
          <cell r="O37" t="str">
            <v>#INCALCULABLE - Peer group has no funds</v>
          </cell>
          <cell r="P37" t="str">
            <v>#INCALCULABLE - Peer group has no funds</v>
          </cell>
        </row>
        <row r="38">
          <cell r="B38">
            <v>38625</v>
          </cell>
          <cell r="C38">
            <v>6.1699999999999998E-2</v>
          </cell>
          <cell r="D38">
            <v>4.3099999999999999E-2</v>
          </cell>
          <cell r="E38">
            <v>4.3099999999999999E-2</v>
          </cell>
          <cell r="F38">
            <v>7.1499999999999994E-2</v>
          </cell>
          <cell r="G38">
            <v>4.3700000000000003E-2</v>
          </cell>
          <cell r="H38">
            <v>7.1499999999999994E-2</v>
          </cell>
          <cell r="I38" t="str">
            <v>#INCALCULABLE - Peer group has no funds</v>
          </cell>
          <cell r="J38">
            <v>5.4100000000000002E-2</v>
          </cell>
          <cell r="K38">
            <v>1.0699999999999999E-2</v>
          </cell>
          <cell r="L38">
            <v>5.8099999999999999E-2</v>
          </cell>
          <cell r="M38" t="str">
            <v>#INCALCULABLE - Peer group has no funds</v>
          </cell>
          <cell r="N38" t="str">
            <v>#INCALCULABLE - Peer group has no funds</v>
          </cell>
          <cell r="O38" t="str">
            <v>#INCALCULABLE - Peer group has no funds</v>
          </cell>
          <cell r="P38" t="str">
            <v>#INCALCULABLE - Peer group has no funds</v>
          </cell>
        </row>
        <row r="39">
          <cell r="B39">
            <v>38717</v>
          </cell>
          <cell r="C39">
            <v>8.4199999999999997E-2</v>
          </cell>
          <cell r="D39">
            <v>1.8800000000000001E-2</v>
          </cell>
          <cell r="E39">
            <v>1.8800000000000001E-2</v>
          </cell>
          <cell r="F39">
            <v>0.1326</v>
          </cell>
          <cell r="G39">
            <v>8.7300000000000003E-2</v>
          </cell>
          <cell r="H39">
            <v>0.1326</v>
          </cell>
          <cell r="I39" t="str">
            <v>#INCALCULABLE - Peer group has no funds</v>
          </cell>
          <cell r="J39">
            <v>1.55E-2</v>
          </cell>
          <cell r="K39">
            <v>0.1157</v>
          </cell>
          <cell r="L39">
            <v>0.11700000000000001</v>
          </cell>
          <cell r="M39" t="str">
            <v>#INCALCULABLE - Peer group has no funds</v>
          </cell>
          <cell r="N39" t="str">
            <v>#INCALCULABLE - Peer group has no funds</v>
          </cell>
          <cell r="O39" t="str">
            <v>#INCALCULABLE - Peer group has no funds</v>
          </cell>
          <cell r="P39" t="str">
            <v>#INCALCULABLE - Peer group has no funds</v>
          </cell>
        </row>
        <row r="40">
          <cell r="B40">
            <v>38807</v>
          </cell>
          <cell r="C40">
            <v>5.21E-2</v>
          </cell>
          <cell r="D40">
            <v>4.2999999999999997E-2</v>
          </cell>
          <cell r="E40">
            <v>4.2999999999999997E-2</v>
          </cell>
          <cell r="F40">
            <v>2.01E-2</v>
          </cell>
          <cell r="G40">
            <v>3.0700000000000002E-2</v>
          </cell>
          <cell r="H40">
            <v>2.01E-2</v>
          </cell>
          <cell r="I40" t="str">
            <v>#INCALCULABLE - Peer group has no funds</v>
          </cell>
          <cell r="J40">
            <v>5.4100000000000002E-2</v>
          </cell>
          <cell r="K40">
            <v>2.5100000000000001E-2</v>
          </cell>
          <cell r="L40">
            <v>2.1299999999999999E-2</v>
          </cell>
          <cell r="M40" t="str">
            <v>#INCALCULABLE - Peer group has no funds</v>
          </cell>
          <cell r="N40" t="str">
            <v>#INCALCULABLE - Peer group has no funds</v>
          </cell>
          <cell r="O40" t="str">
            <v>#INCALCULABLE - Peer group has no funds</v>
          </cell>
          <cell r="P40" t="str">
            <v>#INCALCULABLE - Peer group has no funds</v>
          </cell>
        </row>
        <row r="41">
          <cell r="B41">
            <v>38898</v>
          </cell>
          <cell r="C41">
            <v>8.14E-2</v>
          </cell>
          <cell r="D41">
            <v>4.1000000000000003E-3</v>
          </cell>
          <cell r="E41">
            <v>4.1000000000000003E-3</v>
          </cell>
          <cell r="F41">
            <v>5.7099999999999998E-2</v>
          </cell>
          <cell r="G41">
            <v>0.04</v>
          </cell>
          <cell r="H41">
            <v>5.7099999999999998E-2</v>
          </cell>
          <cell r="I41" t="str">
            <v>#INCALCULABLE - Peer group has no funds</v>
          </cell>
          <cell r="J41">
            <v>7.0599999999999996E-2</v>
          </cell>
          <cell r="K41">
            <v>2.9399999999999999E-2</v>
          </cell>
          <cell r="L41">
            <v>4.0599999999999997E-2</v>
          </cell>
          <cell r="M41" t="str">
            <v>#INCALCULABLE - Peer group has no funds</v>
          </cell>
          <cell r="N41" t="str">
            <v>#INCALCULABLE - Peer group has no funds</v>
          </cell>
          <cell r="O41" t="str">
            <v>#INCALCULABLE - Peer group has no funds</v>
          </cell>
          <cell r="P41" t="str">
            <v>#INCALCULABLE - Peer group has no funds</v>
          </cell>
        </row>
        <row r="42">
          <cell r="B42">
            <v>38990</v>
          </cell>
          <cell r="C42">
            <v>3.2099999999999997E-2</v>
          </cell>
          <cell r="D42">
            <v>1.4500000000000001E-2</v>
          </cell>
          <cell r="E42">
            <v>1.4500000000000001E-2</v>
          </cell>
          <cell r="F42">
            <v>3.9399999999999998E-2</v>
          </cell>
          <cell r="G42">
            <v>2.86E-2</v>
          </cell>
          <cell r="H42">
            <v>3.9399999999999998E-2</v>
          </cell>
          <cell r="I42" t="str">
            <v>#INCALCULABLE - Peer group has no funds</v>
          </cell>
          <cell r="J42">
            <v>2.8299999999999999E-2</v>
          </cell>
          <cell r="K42">
            <v>-8.0000000000000004E-4</v>
          </cell>
          <cell r="L42">
            <v>3.4299999999999997E-2</v>
          </cell>
          <cell r="M42" t="str">
            <v>#INCALCULABLE - Peer group has no funds</v>
          </cell>
          <cell r="N42" t="str">
            <v>#INCALCULABLE - Peer group has no funds</v>
          </cell>
          <cell r="O42" t="str">
            <v>#INCALCULABLE - Peer group has no funds</v>
          </cell>
          <cell r="P42" t="str">
            <v>#INCALCULABLE - Peer group has no funds</v>
          </cell>
        </row>
        <row r="43">
          <cell r="B43">
            <v>39082</v>
          </cell>
          <cell r="C43">
            <v>0.17560000000000001</v>
          </cell>
          <cell r="D43">
            <v>9.1399999999999995E-2</v>
          </cell>
          <cell r="E43">
            <v>9.1399999999999995E-2</v>
          </cell>
          <cell r="F43">
            <v>0.1077</v>
          </cell>
          <cell r="G43">
            <v>6.9599999999999995E-2</v>
          </cell>
          <cell r="H43">
            <v>0.1077</v>
          </cell>
          <cell r="I43" t="str">
            <v>#INCALCULABLE - Peer group has no funds</v>
          </cell>
          <cell r="J43">
            <v>7.6399999999999996E-2</v>
          </cell>
          <cell r="K43">
            <v>0.1133</v>
          </cell>
          <cell r="L43">
            <v>0.17580000000000001</v>
          </cell>
          <cell r="M43">
            <v>-4.07E-2</v>
          </cell>
          <cell r="N43">
            <v>-4.07E-2</v>
          </cell>
          <cell r="O43">
            <v>-4.07E-2</v>
          </cell>
          <cell r="P43">
            <v>-4.07E-2</v>
          </cell>
        </row>
        <row r="44">
          <cell r="B44">
            <v>39172</v>
          </cell>
          <cell r="C44">
            <v>5.4300000000000001E-2</v>
          </cell>
          <cell r="D44">
            <v>1.15E-2</v>
          </cell>
          <cell r="E44">
            <v>1.15E-2</v>
          </cell>
          <cell r="F44">
            <v>3.6400000000000002E-2</v>
          </cell>
          <cell r="G44">
            <v>4.2000000000000003E-2</v>
          </cell>
          <cell r="H44">
            <v>3.6400000000000002E-2</v>
          </cell>
          <cell r="I44" t="str">
            <v>#INCALCULABLE - Peer group has no funds</v>
          </cell>
          <cell r="J44">
            <v>4.7399999999999998E-2</v>
          </cell>
          <cell r="K44">
            <v>4.1099999999999998E-2</v>
          </cell>
          <cell r="L44">
            <v>0.1033</v>
          </cell>
          <cell r="M44">
            <v>5.4000000000000003E-3</v>
          </cell>
          <cell r="N44">
            <v>5.4000000000000003E-3</v>
          </cell>
          <cell r="O44">
            <v>5.4000000000000003E-3</v>
          </cell>
          <cell r="P44">
            <v>5.4000000000000003E-3</v>
          </cell>
        </row>
        <row r="45">
          <cell r="B45">
            <v>39263</v>
          </cell>
          <cell r="C45">
            <v>0.11169999999999999</v>
          </cell>
          <cell r="D45">
            <v>7.8899999999999998E-2</v>
          </cell>
          <cell r="E45">
            <v>7.8899999999999998E-2</v>
          </cell>
          <cell r="F45">
            <v>6.7199999999999996E-2</v>
          </cell>
          <cell r="G45">
            <v>6.4100000000000004E-2</v>
          </cell>
          <cell r="H45">
            <v>6.7199999999999996E-2</v>
          </cell>
          <cell r="I45" t="str">
            <v>#INCALCULABLE - Peer group has no funds</v>
          </cell>
          <cell r="J45">
            <v>5.8599999999999999E-2</v>
          </cell>
          <cell r="K45">
            <v>0.16309999999999999</v>
          </cell>
          <cell r="L45">
            <v>5.2299999999999999E-2</v>
          </cell>
          <cell r="M45">
            <v>3.44E-2</v>
          </cell>
          <cell r="N45">
            <v>3.44E-2</v>
          </cell>
          <cell r="O45">
            <v>3.44E-2</v>
          </cell>
          <cell r="P45">
            <v>3.44E-2</v>
          </cell>
        </row>
        <row r="46">
          <cell r="B46">
            <v>39355</v>
          </cell>
          <cell r="C46">
            <v>2.8299999999999999E-2</v>
          </cell>
          <cell r="D46">
            <v>2.3599999999999999E-2</v>
          </cell>
          <cell r="E46">
            <v>2.3599999999999999E-2</v>
          </cell>
          <cell r="F46">
            <v>7.9500000000000001E-2</v>
          </cell>
          <cell r="G46">
            <v>4.99E-2</v>
          </cell>
          <cell r="H46">
            <v>7.9500000000000001E-2</v>
          </cell>
          <cell r="I46" t="str">
            <v>#INCALCULABLE - Peer group has no funds</v>
          </cell>
          <cell r="J46">
            <v>-8.3000000000000001E-3</v>
          </cell>
          <cell r="K46">
            <v>7.9899999999999999E-2</v>
          </cell>
          <cell r="L46">
            <v>-1.1999999999999999E-3</v>
          </cell>
          <cell r="M46">
            <v>2.0000000000000001E-4</v>
          </cell>
          <cell r="N46">
            <v>2.0000000000000001E-4</v>
          </cell>
          <cell r="O46">
            <v>2.0000000000000001E-4</v>
          </cell>
          <cell r="P46">
            <v>2.0000000000000001E-4</v>
          </cell>
        </row>
        <row r="47">
          <cell r="B47">
            <v>39447</v>
          </cell>
          <cell r="C47">
            <v>3.6900000000000002E-2</v>
          </cell>
          <cell r="D47">
            <v>3.8600000000000002E-2</v>
          </cell>
          <cell r="E47">
            <v>3.8600000000000002E-2</v>
          </cell>
          <cell r="F47">
            <v>5.2299999999999999E-2</v>
          </cell>
          <cell r="G47">
            <v>5.62E-2</v>
          </cell>
          <cell r="H47">
            <v>5.2299999999999999E-2</v>
          </cell>
          <cell r="I47" t="str">
            <v>#INCALCULABLE - Peer group has no funds</v>
          </cell>
          <cell r="J47">
            <v>-3.5099999999999999E-2</v>
          </cell>
          <cell r="K47">
            <v>0.1033</v>
          </cell>
          <cell r="L47">
            <v>7.4999999999999997E-3</v>
          </cell>
          <cell r="M47">
            <v>9.6699999999999994E-2</v>
          </cell>
          <cell r="N47">
            <v>9.6699999999999994E-2</v>
          </cell>
          <cell r="O47">
            <v>9.6699999999999994E-2</v>
          </cell>
          <cell r="P47">
            <v>9.6699999999999994E-2</v>
          </cell>
        </row>
        <row r="48">
          <cell r="B48">
            <v>39538</v>
          </cell>
          <cell r="C48">
            <v>3.5000000000000001E-3</v>
          </cell>
          <cell r="D48">
            <v>-1.3599999999999999E-2</v>
          </cell>
          <cell r="E48">
            <v>-1.3599999999999999E-2</v>
          </cell>
          <cell r="F48">
            <v>1.17E-2</v>
          </cell>
          <cell r="G48">
            <v>7.1000000000000004E-3</v>
          </cell>
          <cell r="H48">
            <v>1.17E-2</v>
          </cell>
          <cell r="I48" t="str">
            <v>#INCALCULABLE - Peer group has no funds</v>
          </cell>
          <cell r="J48">
            <v>-3.73E-2</v>
          </cell>
          <cell r="K48">
            <v>-7.5600000000000001E-2</v>
          </cell>
          <cell r="L48">
            <v>1.43E-2</v>
          </cell>
          <cell r="M48">
            <v>3.5400000000000001E-2</v>
          </cell>
          <cell r="N48">
            <v>3.5400000000000001E-2</v>
          </cell>
          <cell r="O48">
            <v>3.5400000000000001E-2</v>
          </cell>
          <cell r="P48">
            <v>3.5400000000000001E-2</v>
          </cell>
        </row>
        <row r="49">
          <cell r="B49">
            <v>39629</v>
          </cell>
          <cell r="C49">
            <v>-1.5900000000000001E-2</v>
          </cell>
          <cell r="D49">
            <v>-5.7000000000000002E-3</v>
          </cell>
          <cell r="E49">
            <v>-5.7000000000000002E-3</v>
          </cell>
          <cell r="F49">
            <v>-6.4999999999999997E-3</v>
          </cell>
          <cell r="G49">
            <v>-8.3000000000000001E-3</v>
          </cell>
          <cell r="H49">
            <v>-6.4999999999999997E-3</v>
          </cell>
          <cell r="I49" t="str">
            <v>#INCALCULABLE - Peer group has no funds</v>
          </cell>
          <cell r="J49">
            <v>4.3499999999999997E-2</v>
          </cell>
          <cell r="K49">
            <v>-4.1099999999999998E-2</v>
          </cell>
          <cell r="L49">
            <v>-2.3900000000000001E-2</v>
          </cell>
          <cell r="M49">
            <v>3.0800000000000001E-2</v>
          </cell>
          <cell r="N49">
            <v>3.0800000000000001E-2</v>
          </cell>
          <cell r="O49">
            <v>3.0800000000000001E-2</v>
          </cell>
          <cell r="P49">
            <v>3.0800000000000001E-2</v>
          </cell>
        </row>
        <row r="50">
          <cell r="B50">
            <v>39721</v>
          </cell>
          <cell r="C50">
            <v>-0.1017</v>
          </cell>
          <cell r="D50">
            <v>-0.03</v>
          </cell>
          <cell r="E50">
            <v>-0.03</v>
          </cell>
          <cell r="F50">
            <v>-3.39E-2</v>
          </cell>
          <cell r="G50">
            <v>-7.0300000000000001E-2</v>
          </cell>
          <cell r="H50">
            <v>-3.39E-2</v>
          </cell>
          <cell r="I50" t="str">
            <v>#INCALCULABLE - Peer group has no funds</v>
          </cell>
          <cell r="J50">
            <v>-0.13250000000000001</v>
          </cell>
          <cell r="K50">
            <v>-9.0899999999999995E-2</v>
          </cell>
          <cell r="L50">
            <v>-9.9500000000000005E-2</v>
          </cell>
          <cell r="M50">
            <v>-9.2200000000000004E-2</v>
          </cell>
          <cell r="N50">
            <v>-9.2200000000000004E-2</v>
          </cell>
          <cell r="O50">
            <v>-9.2200000000000004E-2</v>
          </cell>
          <cell r="P50">
            <v>-9.2200000000000004E-2</v>
          </cell>
        </row>
        <row r="51">
          <cell r="B51">
            <v>39813</v>
          </cell>
          <cell r="C51">
            <v>-0.18870000000000001</v>
          </cell>
          <cell r="D51">
            <v>-0.1139</v>
          </cell>
          <cell r="E51">
            <v>-0.1139</v>
          </cell>
          <cell r="F51">
            <v>-0.161</v>
          </cell>
          <cell r="G51">
            <v>-0.14349999999999999</v>
          </cell>
          <cell r="H51">
            <v>-0.161</v>
          </cell>
          <cell r="I51" t="str">
            <v>#INCALCULABLE - Peer group has no funds</v>
          </cell>
          <cell r="J51">
            <v>-0.19819999999999999</v>
          </cell>
          <cell r="K51">
            <v>-0.17380000000000001</v>
          </cell>
          <cell r="L51">
            <v>-0.26900000000000002</v>
          </cell>
          <cell r="M51">
            <v>-0.10829999999999999</v>
          </cell>
          <cell r="N51">
            <v>-0.10829999999999999</v>
          </cell>
          <cell r="O51">
            <v>-0.10829999999999999</v>
          </cell>
          <cell r="P51">
            <v>-0.10829999999999999</v>
          </cell>
        </row>
        <row r="52">
          <cell r="B52">
            <v>39903</v>
          </cell>
          <cell r="C52">
            <v>-4.7699999999999999E-2</v>
          </cell>
          <cell r="D52">
            <v>-2.53E-2</v>
          </cell>
          <cell r="E52">
            <v>-2.53E-2</v>
          </cell>
          <cell r="F52">
            <v>-2.8199999999999999E-2</v>
          </cell>
          <cell r="G52">
            <v>-4.2099999999999999E-2</v>
          </cell>
          <cell r="H52">
            <v>-2.8199999999999999E-2</v>
          </cell>
          <cell r="I52" t="str">
            <v>#INCALCULABLE - Peer group has no funds</v>
          </cell>
          <cell r="J52">
            <v>-4.2599999999999999E-2</v>
          </cell>
          <cell r="K52">
            <v>-3.8E-3</v>
          </cell>
          <cell r="L52">
            <v>-0.11559999999999999</v>
          </cell>
          <cell r="M52">
            <v>-7.0599999999999996E-2</v>
          </cell>
          <cell r="N52">
            <v>-7.0599999999999996E-2</v>
          </cell>
          <cell r="O52">
            <v>-7.0599999999999996E-2</v>
          </cell>
          <cell r="P52">
            <v>-7.0599999999999996E-2</v>
          </cell>
        </row>
        <row r="53">
          <cell r="B53">
            <v>39994</v>
          </cell>
          <cell r="C53">
            <v>5.3699999999999998E-2</v>
          </cell>
          <cell r="D53">
            <v>1.15E-2</v>
          </cell>
          <cell r="E53">
            <v>1.15E-2</v>
          </cell>
          <cell r="F53">
            <v>-2.4199999999999999E-2</v>
          </cell>
          <cell r="G53">
            <v>-1.1599999999999999E-2</v>
          </cell>
          <cell r="H53">
            <v>-2.4199999999999999E-2</v>
          </cell>
          <cell r="I53" t="str">
            <v>#INCALCULABLE - Peer group has no funds</v>
          </cell>
          <cell r="J53">
            <v>0.27050000000000002</v>
          </cell>
          <cell r="K53">
            <v>0.14799999999999999</v>
          </cell>
          <cell r="L53">
            <v>-0.1236</v>
          </cell>
          <cell r="M53">
            <v>4.0500000000000001E-2</v>
          </cell>
          <cell r="N53">
            <v>4.0500000000000001E-2</v>
          </cell>
          <cell r="O53">
            <v>4.0500000000000001E-2</v>
          </cell>
          <cell r="P53">
            <v>4.0500000000000001E-2</v>
          </cell>
        </row>
        <row r="54">
          <cell r="B54">
            <v>40086</v>
          </cell>
          <cell r="C54">
            <v>7.9799999999999996E-2</v>
          </cell>
          <cell r="D54">
            <v>1.7299999999999999E-2</v>
          </cell>
          <cell r="E54">
            <v>1.7299999999999999E-2</v>
          </cell>
          <cell r="F54">
            <v>2.5700000000000001E-2</v>
          </cell>
          <cell r="G54">
            <v>4.02E-2</v>
          </cell>
          <cell r="H54">
            <v>2.5700000000000001E-2</v>
          </cell>
          <cell r="I54" t="str">
            <v>#INCALCULABLE - Peer group has no funds</v>
          </cell>
          <cell r="J54">
            <v>0.17580000000000001</v>
          </cell>
          <cell r="K54">
            <v>7.4399999999999994E-2</v>
          </cell>
          <cell r="L54">
            <v>-3.8600000000000002E-2</v>
          </cell>
          <cell r="M54">
            <v>1.9E-2</v>
          </cell>
          <cell r="N54">
            <v>1.9E-2</v>
          </cell>
          <cell r="O54">
            <v>1.9E-2</v>
          </cell>
          <cell r="P54">
            <v>1.9E-2</v>
          </cell>
        </row>
        <row r="55">
          <cell r="B55">
            <v>40178</v>
          </cell>
          <cell r="C55">
            <v>6.4899999999999999E-2</v>
          </cell>
          <cell r="D55">
            <v>4.2999999999999997E-2</v>
          </cell>
          <cell r="E55">
            <v>4.2999999999999997E-2</v>
          </cell>
          <cell r="F55">
            <v>7.2499999999999995E-2</v>
          </cell>
          <cell r="G55">
            <v>5.0599999999999999E-2</v>
          </cell>
          <cell r="H55">
            <v>7.2499999999999995E-2</v>
          </cell>
          <cell r="I55" t="str">
            <v>#INCALCULABLE - Peer group has no funds</v>
          </cell>
          <cell r="J55">
            <v>8.6699999999999999E-2</v>
          </cell>
          <cell r="K55">
            <v>0.1164</v>
          </cell>
          <cell r="L55">
            <v>-0.1196</v>
          </cell>
          <cell r="M55">
            <v>-2E-3</v>
          </cell>
          <cell r="N55">
            <v>-2E-3</v>
          </cell>
          <cell r="O55">
            <v>-2E-3</v>
          </cell>
          <cell r="P55">
            <v>-2E-3</v>
          </cell>
        </row>
        <row r="56">
          <cell r="B56">
            <v>40268</v>
          </cell>
          <cell r="C56">
            <v>2.7300000000000001E-2</v>
          </cell>
          <cell r="D56">
            <v>5.0000000000000001E-3</v>
          </cell>
          <cell r="E56">
            <v>5.0000000000000001E-3</v>
          </cell>
          <cell r="F56">
            <v>1.6899999999999998E-2</v>
          </cell>
          <cell r="G56">
            <v>1.06E-2</v>
          </cell>
          <cell r="H56">
            <v>1.6899999999999998E-2</v>
          </cell>
          <cell r="I56" t="str">
            <v>#INCALCULABLE - Peer group has no funds</v>
          </cell>
          <cell r="J56">
            <v>5.5E-2</v>
          </cell>
          <cell r="K56">
            <v>3.9399999999999998E-2</v>
          </cell>
          <cell r="L56">
            <v>5.1000000000000004E-3</v>
          </cell>
          <cell r="M56">
            <v>-1.15E-2</v>
          </cell>
          <cell r="N56">
            <v>-1.15E-2</v>
          </cell>
          <cell r="O56">
            <v>-1.15E-2</v>
          </cell>
          <cell r="P56">
            <v>-1.15E-2</v>
          </cell>
        </row>
        <row r="57">
          <cell r="B57">
            <v>40359</v>
          </cell>
          <cell r="C57">
            <v>1.5E-3</v>
          </cell>
          <cell r="D57">
            <v>-1.1000000000000001E-3</v>
          </cell>
          <cell r="E57">
            <v>-1.1000000000000001E-3</v>
          </cell>
          <cell r="F57">
            <v>2.1100000000000001E-2</v>
          </cell>
          <cell r="G57">
            <v>-1.04E-2</v>
          </cell>
          <cell r="H57">
            <v>2.1100000000000001E-2</v>
          </cell>
          <cell r="I57">
            <v>-1.8800000000000001E-2</v>
          </cell>
          <cell r="J57">
            <v>-1.72E-2</v>
          </cell>
          <cell r="K57">
            <v>1.14E-2</v>
          </cell>
          <cell r="L57">
            <v>3.4299999999999997E-2</v>
          </cell>
          <cell r="M57">
            <v>-1.9E-3</v>
          </cell>
          <cell r="N57">
            <v>-1.9E-3</v>
          </cell>
          <cell r="O57">
            <v>-1.9E-3</v>
          </cell>
          <cell r="P57">
            <v>-1.9E-3</v>
          </cell>
        </row>
        <row r="58">
          <cell r="B58">
            <v>40451</v>
          </cell>
          <cell r="C58">
            <v>6.8900000000000003E-2</v>
          </cell>
          <cell r="D58">
            <v>4.0800000000000003E-2</v>
          </cell>
          <cell r="E58">
            <v>4.0800000000000003E-2</v>
          </cell>
          <cell r="F58">
            <v>6.13E-2</v>
          </cell>
          <cell r="G58">
            <v>6.6199999999999995E-2</v>
          </cell>
          <cell r="H58">
            <v>6.13E-2</v>
          </cell>
          <cell r="I58">
            <v>6.3799999999999996E-2</v>
          </cell>
          <cell r="J58">
            <v>5.0200000000000002E-2</v>
          </cell>
          <cell r="K58">
            <v>0.1076</v>
          </cell>
          <cell r="L58">
            <v>5.5899999999999998E-2</v>
          </cell>
          <cell r="M58">
            <v>8.7800000000000003E-2</v>
          </cell>
          <cell r="N58">
            <v>8.7800000000000003E-2</v>
          </cell>
          <cell r="O58">
            <v>8.7800000000000003E-2</v>
          </cell>
          <cell r="P58">
            <v>8.7800000000000003E-2</v>
          </cell>
        </row>
        <row r="59">
          <cell r="B59">
            <v>40543</v>
          </cell>
          <cell r="C59">
            <v>7.5499999999999998E-2</v>
          </cell>
          <cell r="D59">
            <v>8.3599999999999994E-2</v>
          </cell>
          <cell r="E59">
            <v>8.3599999999999994E-2</v>
          </cell>
          <cell r="F59">
            <v>9.8500000000000004E-2</v>
          </cell>
          <cell r="G59">
            <v>7.4300000000000005E-2</v>
          </cell>
          <cell r="H59">
            <v>9.8500000000000004E-2</v>
          </cell>
          <cell r="I59">
            <v>4.2299999999999997E-2</v>
          </cell>
          <cell r="J59">
            <v>6.0900000000000003E-2</v>
          </cell>
          <cell r="K59">
            <v>0.1137</v>
          </cell>
          <cell r="L59">
            <v>8.4099999999999994E-2</v>
          </cell>
          <cell r="M59">
            <v>1.6E-2</v>
          </cell>
          <cell r="N59">
            <v>1.6E-2</v>
          </cell>
          <cell r="O59">
            <v>1.6E-2</v>
          </cell>
          <cell r="P59">
            <v>1.6E-2</v>
          </cell>
        </row>
        <row r="60">
          <cell r="B60">
            <v>40633</v>
          </cell>
          <cell r="C60">
            <v>6.25E-2</v>
          </cell>
          <cell r="D60">
            <v>3.4099999999999998E-2</v>
          </cell>
          <cell r="E60">
            <v>3.4099999999999998E-2</v>
          </cell>
          <cell r="F60">
            <v>4.2099999999999999E-2</v>
          </cell>
          <cell r="G60">
            <v>4.7899999999999998E-2</v>
          </cell>
          <cell r="H60">
            <v>4.2099999999999999E-2</v>
          </cell>
          <cell r="I60">
            <v>2.6100000000000002E-2</v>
          </cell>
          <cell r="J60">
            <v>5.0999999999999997E-2</v>
          </cell>
          <cell r="K60">
            <v>1.2999999999999999E-2</v>
          </cell>
          <cell r="L60">
            <v>4.9500000000000002E-2</v>
          </cell>
          <cell r="M60">
            <v>5.8700000000000002E-2</v>
          </cell>
          <cell r="N60">
            <v>5.8700000000000002E-2</v>
          </cell>
          <cell r="O60">
            <v>5.8700000000000002E-2</v>
          </cell>
          <cell r="P60">
            <v>5.8700000000000002E-2</v>
          </cell>
        </row>
        <row r="61">
          <cell r="B61">
            <v>40724</v>
          </cell>
          <cell r="C61">
            <v>5.6300000000000003E-2</v>
          </cell>
          <cell r="D61">
            <v>6.9699999999999998E-2</v>
          </cell>
          <cell r="E61">
            <v>6.9699999999999998E-2</v>
          </cell>
          <cell r="F61">
            <v>4.58E-2</v>
          </cell>
          <cell r="G61">
            <v>4.8899999999999999E-2</v>
          </cell>
          <cell r="H61">
            <v>4.58E-2</v>
          </cell>
          <cell r="I61">
            <v>8.9999999999999993E-3</v>
          </cell>
          <cell r="J61">
            <v>8.9999999999999993E-3</v>
          </cell>
          <cell r="K61">
            <v>1.3599999999999999E-2</v>
          </cell>
          <cell r="L61">
            <v>5.1299999999999998E-2</v>
          </cell>
          <cell r="M61">
            <v>3.1399999999999997E-2</v>
          </cell>
          <cell r="N61">
            <v>3.1399999999999997E-2</v>
          </cell>
          <cell r="O61">
            <v>3.1399999999999997E-2</v>
          </cell>
          <cell r="P61">
            <v>3.1399999999999997E-2</v>
          </cell>
        </row>
        <row r="62">
          <cell r="B62">
            <v>40816</v>
          </cell>
          <cell r="C62">
            <v>-6.4199999999999993E-2</v>
          </cell>
          <cell r="D62">
            <v>-6.1000000000000004E-3</v>
          </cell>
          <cell r="E62">
            <v>-6.1000000000000004E-3</v>
          </cell>
          <cell r="F62">
            <v>1.15E-2</v>
          </cell>
          <cell r="G62">
            <v>-2.6599999999999999E-2</v>
          </cell>
          <cell r="H62">
            <v>1.15E-2</v>
          </cell>
          <cell r="I62">
            <v>-7.1800000000000003E-2</v>
          </cell>
          <cell r="J62">
            <v>-0.1002</v>
          </cell>
          <cell r="K62">
            <v>-7.0300000000000001E-2</v>
          </cell>
          <cell r="L62">
            <v>3.5000000000000001E-3</v>
          </cell>
          <cell r="M62">
            <v>-0.1074</v>
          </cell>
          <cell r="N62">
            <v>-0.1074</v>
          </cell>
          <cell r="O62">
            <v>-0.1074</v>
          </cell>
          <cell r="P62">
            <v>-0.1074</v>
          </cell>
        </row>
        <row r="63">
          <cell r="B63">
            <v>40908</v>
          </cell>
          <cell r="C63">
            <v>3.5499999999999997E-2</v>
          </cell>
          <cell r="D63">
            <v>2.64E-2</v>
          </cell>
          <cell r="E63">
            <v>2.64E-2</v>
          </cell>
          <cell r="F63">
            <v>1.9699999999999999E-2</v>
          </cell>
          <cell r="G63">
            <v>1.32E-2</v>
          </cell>
          <cell r="H63">
            <v>1.9699999999999999E-2</v>
          </cell>
          <cell r="I63">
            <v>4.6300000000000001E-2</v>
          </cell>
          <cell r="J63">
            <v>3.5799999999999998E-2</v>
          </cell>
          <cell r="K63">
            <v>4.7000000000000002E-3</v>
          </cell>
          <cell r="L63">
            <v>3.7900000000000003E-2</v>
          </cell>
          <cell r="M63">
            <v>1.37E-2</v>
          </cell>
          <cell r="N63">
            <v>1.37E-2</v>
          </cell>
          <cell r="O63">
            <v>1.37E-2</v>
          </cell>
          <cell r="P63">
            <v>1.37E-2</v>
          </cell>
        </row>
        <row r="64">
          <cell r="B64">
            <v>40999</v>
          </cell>
          <cell r="C64">
            <v>6.2399999999999997E-2</v>
          </cell>
          <cell r="D64">
            <v>5.0799999999999998E-2</v>
          </cell>
          <cell r="E64">
            <v>5.0799999999999998E-2</v>
          </cell>
          <cell r="F64">
            <v>2.6100000000000002E-2</v>
          </cell>
          <cell r="G64">
            <v>3.9E-2</v>
          </cell>
          <cell r="H64">
            <v>2.6100000000000002E-2</v>
          </cell>
          <cell r="I64">
            <v>5.8400000000000001E-2</v>
          </cell>
          <cell r="J64">
            <v>7.2599999999999998E-2</v>
          </cell>
          <cell r="K64">
            <v>4.9000000000000002E-2</v>
          </cell>
          <cell r="L64">
            <v>2.29E-2</v>
          </cell>
          <cell r="M64">
            <v>8.77E-2</v>
          </cell>
          <cell r="N64">
            <v>8.77E-2</v>
          </cell>
          <cell r="O64">
            <v>8.77E-2</v>
          </cell>
          <cell r="P64">
            <v>8.77E-2</v>
          </cell>
        </row>
        <row r="65">
          <cell r="B65">
            <v>41090</v>
          </cell>
          <cell r="C65">
            <v>-2.7000000000000001E-3</v>
          </cell>
          <cell r="D65">
            <v>-1E-3</v>
          </cell>
          <cell r="E65">
            <v>-1E-3</v>
          </cell>
          <cell r="F65">
            <v>1.9599999999999999E-2</v>
          </cell>
          <cell r="G65">
            <v>4.0000000000000001E-3</v>
          </cell>
          <cell r="H65">
            <v>1.9599999999999999E-2</v>
          </cell>
          <cell r="I65">
            <v>4.0000000000000001E-3</v>
          </cell>
          <cell r="J65">
            <v>5.8999999999999999E-3</v>
          </cell>
          <cell r="K65">
            <v>-2.1600000000000001E-2</v>
          </cell>
          <cell r="L65">
            <v>1.44E-2</v>
          </cell>
          <cell r="M65">
            <v>-5.4999999999999997E-3</v>
          </cell>
          <cell r="N65">
            <v>-5.4999999999999997E-3</v>
          </cell>
          <cell r="O65">
            <v>-5.4999999999999997E-3</v>
          </cell>
          <cell r="P65">
            <v>-5.4999999999999997E-3</v>
          </cell>
        </row>
        <row r="66">
          <cell r="B66">
            <v>41182</v>
          </cell>
          <cell r="C66">
            <v>3.6999999999999998E-2</v>
          </cell>
          <cell r="D66">
            <v>8.0000000000000002E-3</v>
          </cell>
          <cell r="E66">
            <v>8.0000000000000002E-3</v>
          </cell>
          <cell r="F66">
            <v>2.6700000000000002E-2</v>
          </cell>
          <cell r="G66">
            <v>2.0400000000000001E-2</v>
          </cell>
          <cell r="H66">
            <v>2.6700000000000002E-2</v>
          </cell>
          <cell r="I66">
            <v>6.4799999999999996E-2</v>
          </cell>
          <cell r="J66">
            <v>5.0700000000000002E-2</v>
          </cell>
          <cell r="K66">
            <v>3.5400000000000001E-2</v>
          </cell>
          <cell r="L66">
            <v>2.3800000000000002E-2</v>
          </cell>
          <cell r="M66">
            <v>3.0599999999999999E-2</v>
          </cell>
          <cell r="N66">
            <v>3.0599999999999999E-2</v>
          </cell>
          <cell r="O66">
            <v>3.0599999999999999E-2</v>
          </cell>
          <cell r="P66">
            <v>3.0599999999999999E-2</v>
          </cell>
        </row>
        <row r="67">
          <cell r="B67">
            <v>41274</v>
          </cell>
          <cell r="C67">
            <v>4.48E-2</v>
          </cell>
          <cell r="D67">
            <v>3.1E-2</v>
          </cell>
          <cell r="E67">
            <v>3.1E-2</v>
          </cell>
          <cell r="F67">
            <v>4.7600000000000003E-2</v>
          </cell>
          <cell r="G67">
            <v>2.7199999999999998E-2</v>
          </cell>
          <cell r="H67">
            <v>4.7600000000000003E-2</v>
          </cell>
          <cell r="I67">
            <v>1.6299999999999999E-2</v>
          </cell>
          <cell r="J67">
            <v>2.76E-2</v>
          </cell>
          <cell r="K67">
            <v>5.2600000000000001E-2</v>
          </cell>
          <cell r="L67">
            <v>3.6999999999999998E-2</v>
          </cell>
          <cell r="M67">
            <v>5.4999999999999997E-3</v>
          </cell>
          <cell r="N67">
            <v>5.4999999999999997E-3</v>
          </cell>
          <cell r="O67">
            <v>5.4999999999999997E-3</v>
          </cell>
          <cell r="P67">
            <v>5.4999999999999997E-3</v>
          </cell>
        </row>
        <row r="68">
          <cell r="B68">
            <v>41364</v>
          </cell>
          <cell r="C68">
            <v>3.0200000000000001E-2</v>
          </cell>
          <cell r="D68">
            <v>3.73E-2</v>
          </cell>
          <cell r="E68">
            <v>3.73E-2</v>
          </cell>
          <cell r="F68">
            <v>9.2999999999999992E-3</v>
          </cell>
          <cell r="G68">
            <v>1.5699999999999999E-2</v>
          </cell>
          <cell r="H68">
            <v>9.2999999999999992E-3</v>
          </cell>
          <cell r="I68">
            <v>7.6E-3</v>
          </cell>
          <cell r="J68">
            <v>5.4600000000000003E-2</v>
          </cell>
          <cell r="K68">
            <v>3.4599999999999999E-2</v>
          </cell>
          <cell r="L68">
            <v>2.18E-2</v>
          </cell>
          <cell r="M68">
            <v>-1.6299999999999999E-2</v>
          </cell>
          <cell r="N68">
            <v>-1.6299999999999999E-2</v>
          </cell>
          <cell r="O68">
            <v>-1.6299999999999999E-2</v>
          </cell>
          <cell r="P68">
            <v>-1.6299999999999999E-2</v>
          </cell>
        </row>
        <row r="69">
          <cell r="B69">
            <v>41455</v>
          </cell>
          <cell r="C69">
            <v>3.5099999999999999E-2</v>
          </cell>
          <cell r="D69">
            <v>4.8399999999999999E-2</v>
          </cell>
          <cell r="E69">
            <v>4.8399999999999999E-2</v>
          </cell>
          <cell r="F69">
            <v>2.29E-2</v>
          </cell>
          <cell r="G69">
            <v>1.9599999999999999E-2</v>
          </cell>
          <cell r="H69">
            <v>2.29E-2</v>
          </cell>
          <cell r="I69">
            <v>3.3999999999999998E-3</v>
          </cell>
          <cell r="J69">
            <v>2.76E-2</v>
          </cell>
          <cell r="K69">
            <v>-1.52E-2</v>
          </cell>
          <cell r="L69">
            <v>3.4099999999999998E-2</v>
          </cell>
          <cell r="M69">
            <v>3.2099999999999997E-2</v>
          </cell>
          <cell r="N69">
            <v>3.2099999999999997E-2</v>
          </cell>
          <cell r="O69">
            <v>3.2099999999999997E-2</v>
          </cell>
          <cell r="P69">
            <v>3.2099999999999997E-2</v>
          </cell>
        </row>
        <row r="70">
          <cell r="B70">
            <v>41547</v>
          </cell>
          <cell r="C70">
            <v>5.6599999999999998E-2</v>
          </cell>
          <cell r="D70">
            <v>8.6099999999999996E-2</v>
          </cell>
          <cell r="E70">
            <v>8.6099999999999996E-2</v>
          </cell>
          <cell r="F70">
            <v>3.73E-2</v>
          </cell>
          <cell r="G70">
            <v>4.4600000000000001E-2</v>
          </cell>
          <cell r="H70">
            <v>3.73E-2</v>
          </cell>
          <cell r="I70">
            <v>4.0599999999999997E-2</v>
          </cell>
          <cell r="J70">
            <v>3.44E-2</v>
          </cell>
          <cell r="K70">
            <v>3.4500000000000003E-2</v>
          </cell>
          <cell r="L70">
            <v>3.4299999999999997E-2</v>
          </cell>
          <cell r="M70">
            <v>5.28E-2</v>
          </cell>
          <cell r="N70">
            <v>5.28E-2</v>
          </cell>
          <cell r="O70">
            <v>5.28E-2</v>
          </cell>
          <cell r="P70">
            <v>5.28E-2</v>
          </cell>
        </row>
        <row r="71">
          <cell r="B71">
            <v>41639</v>
          </cell>
          <cell r="C71">
            <v>7.17E-2</v>
          </cell>
          <cell r="D71">
            <v>9.9299999999999999E-2</v>
          </cell>
          <cell r="E71">
            <v>9.9299999999999999E-2</v>
          </cell>
          <cell r="F71">
            <v>7.4200000000000002E-2</v>
          </cell>
          <cell r="G71">
            <v>7.2400000000000006E-2</v>
          </cell>
          <cell r="H71">
            <v>7.4200000000000002E-2</v>
          </cell>
          <cell r="I71">
            <v>2.8500000000000001E-2</v>
          </cell>
          <cell r="J71">
            <v>4.5100000000000001E-2</v>
          </cell>
          <cell r="K71">
            <v>9.4899999999999998E-2</v>
          </cell>
          <cell r="L71">
            <v>7.2700000000000001E-2</v>
          </cell>
          <cell r="M71">
            <v>4.41E-2</v>
          </cell>
          <cell r="N71">
            <v>4.41E-2</v>
          </cell>
          <cell r="O71">
            <v>4.41E-2</v>
          </cell>
          <cell r="P71">
            <v>4.41E-2</v>
          </cell>
        </row>
        <row r="72">
          <cell r="B72">
            <v>41729</v>
          </cell>
          <cell r="C72">
            <v>3.39E-2</v>
          </cell>
          <cell r="D72">
            <v>3.5900000000000001E-2</v>
          </cell>
          <cell r="E72">
            <v>3.5900000000000001E-2</v>
          </cell>
          <cell r="F72">
            <v>2.12E-2</v>
          </cell>
          <cell r="G72">
            <v>2.9899999999999999E-2</v>
          </cell>
          <cell r="H72">
            <v>2.12E-2</v>
          </cell>
          <cell r="I72">
            <v>2.93E-2</v>
          </cell>
          <cell r="J72">
            <v>3.3700000000000001E-2</v>
          </cell>
          <cell r="K72">
            <v>3.39E-2</v>
          </cell>
          <cell r="L72">
            <v>2.4899999999999999E-2</v>
          </cell>
          <cell r="M72">
            <v>3.4599999999999999E-2</v>
          </cell>
          <cell r="N72">
            <v>3.4599999999999999E-2</v>
          </cell>
          <cell r="O72">
            <v>3.4599999999999999E-2</v>
          </cell>
          <cell r="P72">
            <v>3.4599999999999999E-2</v>
          </cell>
        </row>
        <row r="73">
          <cell r="B73">
            <v>41820</v>
          </cell>
          <cell r="C73">
            <v>4.8800000000000003E-2</v>
          </cell>
          <cell r="D73">
            <v>3.7699999999999997E-2</v>
          </cell>
          <cell r="E73">
            <v>3.7699999999999997E-2</v>
          </cell>
          <cell r="F73">
            <v>3.8600000000000002E-2</v>
          </cell>
          <cell r="G73">
            <v>4.8599999999999997E-2</v>
          </cell>
          <cell r="H73">
            <v>3.8600000000000002E-2</v>
          </cell>
          <cell r="I73">
            <v>2.0799999999999999E-2</v>
          </cell>
          <cell r="J73">
            <v>3.3799999999999997E-2</v>
          </cell>
          <cell r="K73">
            <v>4.3700000000000003E-2</v>
          </cell>
          <cell r="L73">
            <v>4.2000000000000003E-2</v>
          </cell>
          <cell r="M73">
            <v>2.0799999999999999E-2</v>
          </cell>
          <cell r="N73">
            <v>2.0799999999999999E-2</v>
          </cell>
          <cell r="O73">
            <v>2.0799999999999999E-2</v>
          </cell>
          <cell r="P73">
            <v>2.0799999999999999E-2</v>
          </cell>
        </row>
        <row r="74">
          <cell r="B74">
            <v>41912</v>
          </cell>
          <cell r="C74">
            <v>-8.8000000000000005E-3</v>
          </cell>
          <cell r="D74">
            <v>2.5399999999999999E-2</v>
          </cell>
          <cell r="E74">
            <v>2.5399999999999999E-2</v>
          </cell>
          <cell r="F74">
            <v>1.29E-2</v>
          </cell>
          <cell r="G74">
            <v>2.3E-3</v>
          </cell>
          <cell r="H74">
            <v>1.29E-2</v>
          </cell>
          <cell r="I74">
            <v>-7.1000000000000004E-3</v>
          </cell>
          <cell r="J74">
            <v>-2.1299999999999999E-2</v>
          </cell>
          <cell r="K74">
            <v>3.1399999999999997E-2</v>
          </cell>
          <cell r="L74">
            <v>2.9499999999999998E-2</v>
          </cell>
          <cell r="M74">
            <v>-2.7300000000000001E-2</v>
          </cell>
          <cell r="N74">
            <v>-2.7300000000000001E-2</v>
          </cell>
          <cell r="O74">
            <v>-2.7300000000000001E-2</v>
          </cell>
          <cell r="P74">
            <v>-2.7300000000000001E-2</v>
          </cell>
        </row>
        <row r="75">
          <cell r="B75">
            <v>42004</v>
          </cell>
          <cell r="C75">
            <v>2.24E-2</v>
          </cell>
          <cell r="D75">
            <v>7.8899999999999998E-2</v>
          </cell>
          <cell r="E75">
            <v>7.8899999999999998E-2</v>
          </cell>
          <cell r="F75">
            <v>2.5000000000000001E-2</v>
          </cell>
          <cell r="G75">
            <v>4.2700000000000002E-2</v>
          </cell>
          <cell r="H75">
            <v>2.5000000000000001E-2</v>
          </cell>
          <cell r="I75">
            <v>4.4000000000000003E-3</v>
          </cell>
          <cell r="J75">
            <v>-9.4000000000000004E-3</v>
          </cell>
          <cell r="K75">
            <v>4.3799999999999999E-2</v>
          </cell>
          <cell r="L75">
            <v>0.05</v>
          </cell>
          <cell r="M75">
            <v>-1.46E-2</v>
          </cell>
          <cell r="N75">
            <v>-1.46E-2</v>
          </cell>
          <cell r="O75">
            <v>-1.46E-2</v>
          </cell>
          <cell r="P75">
            <v>-1.46E-2</v>
          </cell>
        </row>
        <row r="76">
          <cell r="B76">
            <v>42094</v>
          </cell>
          <cell r="C76">
            <v>1.14E-2</v>
          </cell>
          <cell r="D76">
            <v>3.3500000000000002E-2</v>
          </cell>
          <cell r="E76">
            <v>3.3500000000000002E-2</v>
          </cell>
          <cell r="F76">
            <v>8.6E-3</v>
          </cell>
          <cell r="G76">
            <v>1.3899999999999999E-2</v>
          </cell>
          <cell r="H76">
            <v>8.6E-3</v>
          </cell>
          <cell r="I76">
            <v>-1.52E-2</v>
          </cell>
          <cell r="J76">
            <v>-5.9999999999999995E-4</v>
          </cell>
          <cell r="K76">
            <v>4.1700000000000001E-2</v>
          </cell>
          <cell r="L76">
            <v>2.2800000000000001E-2</v>
          </cell>
          <cell r="M76">
            <v>-6.3399999999999998E-2</v>
          </cell>
          <cell r="N76">
            <v>-6.3399999999999998E-2</v>
          </cell>
          <cell r="O76">
            <v>-6.3399999999999998E-2</v>
          </cell>
          <cell r="P76">
            <v>-6.3399999999999998E-2</v>
          </cell>
        </row>
        <row r="77">
          <cell r="B77">
            <v>42185</v>
          </cell>
          <cell r="C77">
            <v>5.8799999999999998E-2</v>
          </cell>
          <cell r="D77">
            <v>4.9099999999999998E-2</v>
          </cell>
          <cell r="E77">
            <v>4.9099999999999998E-2</v>
          </cell>
          <cell r="F77">
            <v>6.0400000000000002E-2</v>
          </cell>
          <cell r="G77">
            <v>5.1900000000000002E-2</v>
          </cell>
          <cell r="H77">
            <v>6.0400000000000002E-2</v>
          </cell>
          <cell r="I77">
            <v>3.2300000000000002E-2</v>
          </cell>
          <cell r="J77">
            <v>1.2999999999999999E-2</v>
          </cell>
          <cell r="K77">
            <v>5.5599999999999997E-2</v>
          </cell>
          <cell r="L77">
            <v>3.7400000000000003E-2</v>
          </cell>
          <cell r="M77">
            <v>7.6899999999999996E-2</v>
          </cell>
          <cell r="N77">
            <v>7.6899999999999996E-2</v>
          </cell>
          <cell r="O77">
            <v>7.6899999999999996E-2</v>
          </cell>
          <cell r="P77">
            <v>7.6899999999999996E-2</v>
          </cell>
        </row>
        <row r="78">
          <cell r="B78">
            <v>42277</v>
          </cell>
          <cell r="C78">
            <v>-5.0000000000000001E-4</v>
          </cell>
          <cell r="D78">
            <v>-5.5999999999999999E-3</v>
          </cell>
          <cell r="E78">
            <v>-5.5999999999999999E-3</v>
          </cell>
          <cell r="F78">
            <v>1.01E-2</v>
          </cell>
          <cell r="G78">
            <v>1.2999999999999999E-3</v>
          </cell>
          <cell r="H78">
            <v>1.01E-2</v>
          </cell>
          <cell r="I78">
            <v>2.5999999999999999E-3</v>
          </cell>
          <cell r="J78">
            <v>-0.04</v>
          </cell>
          <cell r="K78">
            <v>-5.1499999999999997E-2</v>
          </cell>
          <cell r="L78">
            <v>1.5599999999999999E-2</v>
          </cell>
          <cell r="M78">
            <v>5.5999999999999999E-3</v>
          </cell>
          <cell r="N78">
            <v>5.5999999999999999E-3</v>
          </cell>
          <cell r="O78">
            <v>5.5999999999999999E-3</v>
          </cell>
          <cell r="P78">
            <v>5.5999999999999999E-3</v>
          </cell>
        </row>
        <row r="79">
          <cell r="B79">
            <v>42369</v>
          </cell>
          <cell r="C79">
            <v>2.3300000000000001E-2</v>
          </cell>
          <cell r="D79">
            <v>2.4199999999999999E-2</v>
          </cell>
          <cell r="E79">
            <v>2.4199999999999999E-2</v>
          </cell>
          <cell r="F79">
            <v>2.9999999999999997E-4</v>
          </cell>
          <cell r="G79">
            <v>2.4400000000000002E-2</v>
          </cell>
          <cell r="H79">
            <v>2.9999999999999997E-4</v>
          </cell>
          <cell r="I79">
            <v>0</v>
          </cell>
          <cell r="J79">
            <v>-2.4199999999999999E-2</v>
          </cell>
          <cell r="K79">
            <v>7.46E-2</v>
          </cell>
          <cell r="L79">
            <v>2.9399999999999999E-2</v>
          </cell>
          <cell r="M79">
            <v>-5.8999999999999999E-3</v>
          </cell>
          <cell r="N79">
            <v>-5.8999999999999999E-3</v>
          </cell>
          <cell r="O79">
            <v>-5.8999999999999999E-3</v>
          </cell>
          <cell r="P79">
            <v>-5.8999999999999999E-3</v>
          </cell>
        </row>
        <row r="80">
          <cell r="B80">
            <v>42460</v>
          </cell>
          <cell r="C80">
            <v>2.29E-2</v>
          </cell>
          <cell r="D80">
            <v>-2.63E-2</v>
          </cell>
          <cell r="E80">
            <v>-2.63E-2</v>
          </cell>
          <cell r="F80">
            <v>3.3E-3</v>
          </cell>
          <cell r="G80">
            <v>4.1999999999999997E-3</v>
          </cell>
          <cell r="H80">
            <v>3.3E-3</v>
          </cell>
          <cell r="I80">
            <v>2.8799999999999999E-2</v>
          </cell>
          <cell r="J80">
            <v>8.6999999999999994E-3</v>
          </cell>
          <cell r="K80">
            <v>-7.1999999999999998E-3</v>
          </cell>
          <cell r="L80">
            <v>1.9699999999999999E-2</v>
          </cell>
          <cell r="M80">
            <v>3.5099999999999999E-2</v>
          </cell>
          <cell r="N80">
            <v>3.5099999999999999E-2</v>
          </cell>
          <cell r="O80">
            <v>3.5099999999999999E-2</v>
          </cell>
          <cell r="P80">
            <v>3.5099999999999999E-2</v>
          </cell>
        </row>
        <row r="81">
          <cell r="B81">
            <v>42551</v>
          </cell>
          <cell r="C81">
            <v>2.7E-2</v>
          </cell>
          <cell r="D81">
            <v>3.2000000000000002E-3</v>
          </cell>
          <cell r="E81">
            <v>3.2000000000000002E-3</v>
          </cell>
          <cell r="F81">
            <v>-8.0000000000000004E-4</v>
          </cell>
          <cell r="G81">
            <v>8.9999999999999993E-3</v>
          </cell>
          <cell r="H81">
            <v>-8.0000000000000004E-4</v>
          </cell>
          <cell r="I81">
            <v>1.3599999999999999E-2</v>
          </cell>
          <cell r="J81">
            <v>1.72E-2</v>
          </cell>
          <cell r="K81">
            <v>1.6199999999999999E-2</v>
          </cell>
          <cell r="L81">
            <v>1.0200000000000001E-2</v>
          </cell>
          <cell r="M81">
            <v>5.7000000000000002E-3</v>
          </cell>
          <cell r="N81">
            <v>5.7000000000000002E-3</v>
          </cell>
          <cell r="O81">
            <v>5.7000000000000002E-3</v>
          </cell>
          <cell r="P81">
            <v>5.7000000000000002E-3</v>
          </cell>
        </row>
        <row r="82">
          <cell r="B82">
            <v>42643</v>
          </cell>
          <cell r="C82">
            <v>4.5100000000000001E-2</v>
          </cell>
          <cell r="D82">
            <v>2.92E-2</v>
          </cell>
          <cell r="E82">
            <v>2.92E-2</v>
          </cell>
          <cell r="F82">
            <v>1.9599999999999999E-2</v>
          </cell>
          <cell r="G82">
            <v>2.8299999999999999E-2</v>
          </cell>
          <cell r="H82">
            <v>1.9599999999999999E-2</v>
          </cell>
          <cell r="I82">
            <v>2.92E-2</v>
          </cell>
          <cell r="J82">
            <v>3.6600000000000001E-2</v>
          </cell>
          <cell r="K82">
            <v>3.39E-2</v>
          </cell>
          <cell r="L82">
            <v>2.1899999999999999E-2</v>
          </cell>
          <cell r="M82">
            <v>1.41E-2</v>
          </cell>
          <cell r="N82">
            <v>1.41E-2</v>
          </cell>
          <cell r="O82">
            <v>1.41E-2</v>
          </cell>
          <cell r="P82">
            <v>1.41E-2</v>
          </cell>
        </row>
        <row r="83">
          <cell r="B83">
            <v>42735</v>
          </cell>
          <cell r="C83">
            <v>3.0499999999999999E-2</v>
          </cell>
          <cell r="D83">
            <v>6.3E-3</v>
          </cell>
          <cell r="E83">
            <v>6.3E-3</v>
          </cell>
          <cell r="F83">
            <v>3.2099999999999997E-2</v>
          </cell>
          <cell r="G83">
            <v>2.46E-2</v>
          </cell>
          <cell r="H83">
            <v>3.2099999999999997E-2</v>
          </cell>
          <cell r="I83">
            <v>-2.5999999999999999E-3</v>
          </cell>
          <cell r="J83">
            <v>3.8399999999999997E-2</v>
          </cell>
          <cell r="K83">
            <v>7.4000000000000003E-3</v>
          </cell>
          <cell r="L83">
            <v>1.8700000000000001E-2</v>
          </cell>
          <cell r="M83">
            <v>1.5900000000000001E-2</v>
          </cell>
          <cell r="N83">
            <v>1.5900000000000001E-2</v>
          </cell>
          <cell r="O83">
            <v>1.5900000000000001E-2</v>
          </cell>
          <cell r="P83">
            <v>1.5900000000000001E-2</v>
          </cell>
        </row>
        <row r="84">
          <cell r="B84">
            <v>42825</v>
          </cell>
          <cell r="C84">
            <v>4.3799999999999999E-2</v>
          </cell>
          <cell r="D84">
            <v>3.0800000000000001E-2</v>
          </cell>
          <cell r="E84">
            <v>3.0800000000000001E-2</v>
          </cell>
          <cell r="F84">
            <v>2.53E-2</v>
          </cell>
          <cell r="G84">
            <v>2.6499999999999999E-2</v>
          </cell>
          <cell r="H84">
            <v>2.53E-2</v>
          </cell>
          <cell r="I84">
            <v>2.5700000000000001E-2</v>
          </cell>
          <cell r="J84">
            <v>2.5899999999999999E-2</v>
          </cell>
          <cell r="K84">
            <v>5.7599999999999998E-2</v>
          </cell>
          <cell r="L84">
            <v>2.9700000000000001E-2</v>
          </cell>
          <cell r="M84">
            <v>7.0099999999999996E-2</v>
          </cell>
          <cell r="N84">
            <v>7.0099999999999996E-2</v>
          </cell>
          <cell r="O84">
            <v>7.0099999999999996E-2</v>
          </cell>
          <cell r="P84">
            <v>7.0099999999999996E-2</v>
          </cell>
        </row>
        <row r="85">
          <cell r="B85">
            <v>42916</v>
          </cell>
          <cell r="C85">
            <v>6.7500000000000004E-2</v>
          </cell>
          <cell r="D85">
            <v>1.95E-2</v>
          </cell>
          <cell r="E85">
            <v>1.95E-2</v>
          </cell>
          <cell r="F85">
            <v>5.3600000000000002E-2</v>
          </cell>
          <cell r="G85">
            <v>4.1700000000000001E-2</v>
          </cell>
          <cell r="H85">
            <v>5.3600000000000002E-2</v>
          </cell>
          <cell r="I85">
            <v>3.5299999999999998E-2</v>
          </cell>
          <cell r="J85">
            <v>3.04E-2</v>
          </cell>
          <cell r="K85">
            <v>4.5900000000000003E-2</v>
          </cell>
          <cell r="L85">
            <v>4.3799999999999999E-2</v>
          </cell>
          <cell r="M85">
            <v>5.2900000000000003E-2</v>
          </cell>
          <cell r="N85">
            <v>5.2900000000000003E-2</v>
          </cell>
          <cell r="O85">
            <v>5.2900000000000003E-2</v>
          </cell>
          <cell r="P85">
            <v>5.2900000000000003E-2</v>
          </cell>
        </row>
        <row r="86">
          <cell r="B86">
            <v>43008</v>
          </cell>
          <cell r="C86">
            <v>4.4299999999999999E-2</v>
          </cell>
          <cell r="D86">
            <v>3.7400000000000003E-2</v>
          </cell>
          <cell r="E86">
            <v>3.7400000000000003E-2</v>
          </cell>
          <cell r="F86">
            <v>4.24E-2</v>
          </cell>
          <cell r="G86">
            <v>3.7999999999999999E-2</v>
          </cell>
          <cell r="H86">
            <v>4.24E-2</v>
          </cell>
          <cell r="I86">
            <v>2.24E-2</v>
          </cell>
          <cell r="J86">
            <v>3.6900000000000002E-2</v>
          </cell>
          <cell r="K86">
            <v>5.3800000000000001E-2</v>
          </cell>
          <cell r="L86">
            <v>3.2599999999999997E-2</v>
          </cell>
          <cell r="M86">
            <v>5.2400000000000002E-2</v>
          </cell>
          <cell r="N86">
            <v>5.2400000000000002E-2</v>
          </cell>
          <cell r="O86">
            <v>5.2400000000000002E-2</v>
          </cell>
          <cell r="P86">
            <v>5.2400000000000002E-2</v>
          </cell>
        </row>
        <row r="87">
          <cell r="B87">
            <v>43100</v>
          </cell>
          <cell r="C87">
            <v>5.6599999999999998E-2</v>
          </cell>
          <cell r="D87">
            <v>3.78E-2</v>
          </cell>
          <cell r="E87">
            <v>3.78E-2</v>
          </cell>
          <cell r="F87">
            <v>7.1400000000000005E-2</v>
          </cell>
          <cell r="G87">
            <v>4.58E-2</v>
          </cell>
          <cell r="H87">
            <v>7.1400000000000005E-2</v>
          </cell>
          <cell r="I87">
            <v>3.0099999999999998E-2</v>
          </cell>
          <cell r="J87">
            <v>3.27E-2</v>
          </cell>
          <cell r="K87">
            <v>6.2799999999999995E-2</v>
          </cell>
          <cell r="L87">
            <v>4.2000000000000003E-2</v>
          </cell>
          <cell r="M87">
            <v>4.53E-2</v>
          </cell>
          <cell r="N87">
            <v>4.53E-2</v>
          </cell>
          <cell r="O87">
            <v>4.53E-2</v>
          </cell>
          <cell r="P87">
            <v>4.53E-2</v>
          </cell>
        </row>
        <row r="88">
          <cell r="B88">
            <v>43190</v>
          </cell>
          <cell r="C88">
            <v>2.9399999999999999E-2</v>
          </cell>
          <cell r="D88">
            <v>4.3200000000000002E-2</v>
          </cell>
          <cell r="E88">
            <v>4.3200000000000002E-2</v>
          </cell>
          <cell r="F88">
            <v>2.6200000000000001E-2</v>
          </cell>
          <cell r="G88">
            <v>3.7900000000000003E-2</v>
          </cell>
          <cell r="H88">
            <v>2.6200000000000001E-2</v>
          </cell>
          <cell r="I88">
            <v>1.3899999999999999E-2</v>
          </cell>
          <cell r="J88">
            <v>1.95E-2</v>
          </cell>
          <cell r="K88">
            <v>2.1100000000000001E-2</v>
          </cell>
          <cell r="L88">
            <v>2.87E-2</v>
          </cell>
          <cell r="M88">
            <v>5.1200000000000002E-2</v>
          </cell>
          <cell r="N88">
            <v>5.1200000000000002E-2</v>
          </cell>
          <cell r="O88">
            <v>5.1200000000000002E-2</v>
          </cell>
          <cell r="P88">
            <v>5.1200000000000002E-2</v>
          </cell>
        </row>
        <row r="89">
          <cell r="B89">
            <v>43281</v>
          </cell>
          <cell r="C89">
            <v>4.2999999999999997E-2</v>
          </cell>
          <cell r="D89">
            <v>6.4000000000000001E-2</v>
          </cell>
          <cell r="E89">
            <v>6.4000000000000001E-2</v>
          </cell>
          <cell r="F89">
            <v>3.4299999999999997E-2</v>
          </cell>
          <cell r="G89">
            <v>3.9899999999999998E-2</v>
          </cell>
          <cell r="H89">
            <v>3.4299999999999997E-2</v>
          </cell>
          <cell r="I89">
            <v>9.2999999999999992E-3</v>
          </cell>
          <cell r="J89">
            <v>1.6199999999999999E-2</v>
          </cell>
          <cell r="K89">
            <v>3.8800000000000001E-2</v>
          </cell>
          <cell r="L89">
            <v>1.23E-2</v>
          </cell>
          <cell r="M89">
            <v>-4.8999999999999998E-3</v>
          </cell>
          <cell r="N89">
            <v>-4.8999999999999998E-3</v>
          </cell>
          <cell r="O89">
            <v>-4.8999999999999998E-3</v>
          </cell>
          <cell r="P89">
            <v>-4.8999999999999998E-3</v>
          </cell>
        </row>
        <row r="90">
          <cell r="B90">
            <v>43373</v>
          </cell>
          <cell r="C90">
            <v>3.56E-2</v>
          </cell>
          <cell r="D90">
            <v>6.93E-2</v>
          </cell>
          <cell r="E90">
            <v>6.93E-2</v>
          </cell>
          <cell r="F90">
            <v>4.1000000000000002E-2</v>
          </cell>
          <cell r="G90">
            <v>2.6100000000000002E-2</v>
          </cell>
          <cell r="H90">
            <v>4.1000000000000002E-2</v>
          </cell>
          <cell r="I90">
            <v>1.8599999999999998E-2</v>
          </cell>
          <cell r="J90">
            <v>2.2499999999999999E-2</v>
          </cell>
          <cell r="K90">
            <v>1.1299999999999999E-2</v>
          </cell>
          <cell r="L90">
            <v>1.8200000000000001E-2</v>
          </cell>
          <cell r="M90">
            <v>2.0400000000000001E-2</v>
          </cell>
          <cell r="N90">
            <v>2.0400000000000001E-2</v>
          </cell>
          <cell r="O90">
            <v>2.0400000000000001E-2</v>
          </cell>
          <cell r="P90">
            <v>2.0400000000000001E-2</v>
          </cell>
        </row>
        <row r="91">
          <cell r="B91">
            <v>43465</v>
          </cell>
          <cell r="C91">
            <v>-1.0200000000000001E-2</v>
          </cell>
          <cell r="D91">
            <v>1.2800000000000001E-2</v>
          </cell>
          <cell r="E91">
            <v>1.2800000000000001E-2</v>
          </cell>
          <cell r="F91">
            <v>-7.4000000000000003E-3</v>
          </cell>
          <cell r="G91">
            <v>-2.8999999999999998E-3</v>
          </cell>
          <cell r="H91">
            <v>-7.4000000000000003E-3</v>
          </cell>
          <cell r="I91">
            <v>7.0000000000000001E-3</v>
          </cell>
          <cell r="J91">
            <v>-8.5000000000000006E-3</v>
          </cell>
          <cell r="K91">
            <v>-1.1000000000000001E-3</v>
          </cell>
          <cell r="L91">
            <v>1.46E-2</v>
          </cell>
          <cell r="M91">
            <v>9.4000000000000004E-3</v>
          </cell>
          <cell r="N91">
            <v>9.4000000000000004E-3</v>
          </cell>
          <cell r="O91">
            <v>9.4000000000000004E-3</v>
          </cell>
          <cell r="P91">
            <v>9.4000000000000004E-3</v>
          </cell>
        </row>
        <row r="92">
          <cell r="B92">
            <v>43555</v>
          </cell>
          <cell r="C92">
            <v>4.5699999999999998E-2</v>
          </cell>
          <cell r="D92">
            <v>6.9699999999999998E-2</v>
          </cell>
          <cell r="E92">
            <v>6.9699999999999998E-2</v>
          </cell>
          <cell r="F92">
            <v>1.9400000000000001E-2</v>
          </cell>
          <cell r="G92">
            <v>3.4500000000000003E-2</v>
          </cell>
          <cell r="H92">
            <v>1.9400000000000001E-2</v>
          </cell>
          <cell r="I92">
            <v>1.83E-2</v>
          </cell>
          <cell r="J92">
            <v>2.52E-2</v>
          </cell>
          <cell r="K92">
            <v>4.9700000000000001E-2</v>
          </cell>
          <cell r="L92">
            <v>1.7600000000000001E-2</v>
          </cell>
          <cell r="M92">
            <v>2.5399999999999999E-2</v>
          </cell>
          <cell r="N92">
            <v>2.5399999999999999E-2</v>
          </cell>
          <cell r="O92">
            <v>2.5399999999999999E-2</v>
          </cell>
          <cell r="P92">
            <v>2.5399999999999999E-2</v>
          </cell>
        </row>
        <row r="93">
          <cell r="B93">
            <v>43646</v>
          </cell>
          <cell r="C93">
            <v>4.4499999999999998E-2</v>
          </cell>
          <cell r="D93">
            <v>8.7599999999999997E-2</v>
          </cell>
          <cell r="E93">
            <v>8.7599999999999997E-2</v>
          </cell>
          <cell r="F93">
            <v>4.1599999999999998E-2</v>
          </cell>
          <cell r="G93">
            <v>2.87E-2</v>
          </cell>
          <cell r="H93">
            <v>4.1599999999999998E-2</v>
          </cell>
          <cell r="I93">
            <v>2.3099999999999999E-2</v>
          </cell>
          <cell r="J93">
            <v>1.3599999999999999E-2</v>
          </cell>
          <cell r="K93">
            <v>1.6799999999999999E-2</v>
          </cell>
          <cell r="L93">
            <v>2.3300000000000001E-2</v>
          </cell>
          <cell r="M93">
            <v>1.5299999999999999E-2</v>
          </cell>
          <cell r="N93">
            <v>1.5299999999999999E-2</v>
          </cell>
          <cell r="O93">
            <v>1.5299999999999999E-2</v>
          </cell>
          <cell r="P93">
            <v>1.5299999999999999E-2</v>
          </cell>
        </row>
        <row r="94">
          <cell r="B94">
            <v>43738</v>
          </cell>
          <cell r="C94">
            <v>1.67E-2</v>
          </cell>
          <cell r="D94">
            <v>4.0000000000000002E-4</v>
          </cell>
          <cell r="E94">
            <v>4.0000000000000002E-4</v>
          </cell>
          <cell r="F94">
            <v>2.1700000000000001E-2</v>
          </cell>
          <cell r="G94">
            <v>8.6999999999999994E-3</v>
          </cell>
          <cell r="H94">
            <v>2.1700000000000001E-2</v>
          </cell>
          <cell r="I94">
            <v>1.1599999999999999E-2</v>
          </cell>
          <cell r="J94">
            <v>-1E-3</v>
          </cell>
          <cell r="K94">
            <v>1.2E-2</v>
          </cell>
          <cell r="L94">
            <v>1.7500000000000002E-2</v>
          </cell>
          <cell r="M94">
            <v>-1.83E-2</v>
          </cell>
          <cell r="N94">
            <v>-1.83E-2</v>
          </cell>
          <cell r="O94">
            <v>-1.83E-2</v>
          </cell>
          <cell r="P94">
            <v>-1.83E-2</v>
          </cell>
        </row>
        <row r="95">
          <cell r="B95">
            <v>43830</v>
          </cell>
          <cell r="C95">
            <v>5.7599999999999998E-2</v>
          </cell>
          <cell r="D95">
            <v>5.9200000000000003E-2</v>
          </cell>
          <cell r="E95">
            <v>5.9200000000000003E-2</v>
          </cell>
          <cell r="F95">
            <v>5.7000000000000002E-2</v>
          </cell>
          <cell r="G95">
            <v>4.1300000000000003E-2</v>
          </cell>
          <cell r="H95">
            <v>5.7000000000000002E-2</v>
          </cell>
          <cell r="I95">
            <v>1.8499999999999999E-2</v>
          </cell>
          <cell r="J95">
            <v>3.8399999999999997E-2</v>
          </cell>
          <cell r="K95">
            <v>4.1399999999999999E-2</v>
          </cell>
          <cell r="L95">
            <v>3.5499999999999997E-2</v>
          </cell>
          <cell r="M95">
            <v>4.6199999999999998E-2</v>
          </cell>
          <cell r="N95">
            <v>4.6199999999999998E-2</v>
          </cell>
          <cell r="O95">
            <v>4.6199999999999998E-2</v>
          </cell>
          <cell r="P95">
            <v>4.6199999999999998E-2</v>
          </cell>
        </row>
        <row r="96">
          <cell r="B96">
            <v>43921</v>
          </cell>
          <cell r="C96">
            <v>-0.10050000000000001</v>
          </cell>
          <cell r="D96">
            <v>-3.85E-2</v>
          </cell>
          <cell r="E96">
            <v>-3.85E-2</v>
          </cell>
          <cell r="F96">
            <v>-6.3100000000000003E-2</v>
          </cell>
          <cell r="G96">
            <v>-4.7300000000000002E-2</v>
          </cell>
          <cell r="H96">
            <v>-6.3100000000000003E-2</v>
          </cell>
          <cell r="I96">
            <v>-4.1099999999999998E-2</v>
          </cell>
          <cell r="J96">
            <v>-0.1454</v>
          </cell>
          <cell r="K96">
            <v>-5.8999999999999997E-2</v>
          </cell>
          <cell r="L96">
            <v>-5.28E-2</v>
          </cell>
          <cell r="M96">
            <v>-4.6300000000000001E-2</v>
          </cell>
          <cell r="N96">
            <v>-4.6300000000000001E-2</v>
          </cell>
          <cell r="O96">
            <v>-4.6300000000000001E-2</v>
          </cell>
          <cell r="P96">
            <v>-4.6300000000000001E-2</v>
          </cell>
        </row>
        <row r="97">
          <cell r="B97">
            <v>44012</v>
          </cell>
          <cell r="C97">
            <v>9.8000000000000004E-2</v>
          </cell>
          <cell r="D97">
            <v>0.11890000000000001</v>
          </cell>
          <cell r="E97">
            <v>0.11890000000000001</v>
          </cell>
          <cell r="F97">
            <v>-4.4999999999999997E-3</v>
          </cell>
          <cell r="G97">
            <v>0.08</v>
          </cell>
          <cell r="H97">
            <v>-4.4999999999999997E-3</v>
          </cell>
          <cell r="I97">
            <v>2.24E-2</v>
          </cell>
          <cell r="J97">
            <v>8.8499999999999995E-2</v>
          </cell>
          <cell r="K97">
            <v>0.1024</v>
          </cell>
          <cell r="L97">
            <v>-3.3999999999999998E-3</v>
          </cell>
          <cell r="M97">
            <v>3.5000000000000003E-2</v>
          </cell>
          <cell r="N97">
            <v>3.5000000000000003E-2</v>
          </cell>
          <cell r="O97">
            <v>3.5000000000000003E-2</v>
          </cell>
          <cell r="P97">
            <v>3.5000000000000003E-2</v>
          </cell>
        </row>
        <row r="98">
          <cell r="B98">
            <v>44104</v>
          </cell>
          <cell r="C98">
            <v>0.1142</v>
          </cell>
          <cell r="D98">
            <v>0.15090000000000001</v>
          </cell>
          <cell r="E98">
            <v>0.15090000000000001</v>
          </cell>
          <cell r="F98">
            <v>8.2199999999999995E-2</v>
          </cell>
          <cell r="G98">
            <v>8.7800000000000003E-2</v>
          </cell>
          <cell r="H98">
            <v>8.2199999999999995E-2</v>
          </cell>
          <cell r="I98">
            <v>4.9500000000000002E-2</v>
          </cell>
          <cell r="J98">
            <v>5.5399999999999998E-2</v>
          </cell>
          <cell r="K98">
            <v>9.6699999999999994E-2</v>
          </cell>
          <cell r="L98">
            <v>3.09E-2</v>
          </cell>
          <cell r="M98">
            <v>5.0900000000000001E-2</v>
          </cell>
          <cell r="N98">
            <v>5.0900000000000001E-2</v>
          </cell>
          <cell r="O98">
            <v>5.0900000000000001E-2</v>
          </cell>
          <cell r="P98">
            <v>5.0900000000000001E-2</v>
          </cell>
        </row>
        <row r="99">
          <cell r="B99">
            <v>44196</v>
          </cell>
          <cell r="C99">
            <v>0.1308</v>
          </cell>
          <cell r="D99">
            <v>0.33289999999999997</v>
          </cell>
          <cell r="E99">
            <v>0.33289999999999997</v>
          </cell>
          <cell r="F99">
            <v>0.20810000000000001</v>
          </cell>
          <cell r="G99">
            <v>0.18049999999999999</v>
          </cell>
          <cell r="H99">
            <v>0.20810000000000001</v>
          </cell>
          <cell r="I99">
            <v>5.1900000000000002E-2</v>
          </cell>
          <cell r="J99">
            <v>7.5499999999999998E-2</v>
          </cell>
          <cell r="K99">
            <v>0.17660000000000001</v>
          </cell>
          <cell r="L99">
            <v>4.1599999999999998E-2</v>
          </cell>
          <cell r="M99">
            <v>6.9599999999999995E-2</v>
          </cell>
          <cell r="N99">
            <v>6.9599999999999995E-2</v>
          </cell>
          <cell r="O99">
            <v>6.9599999999999995E-2</v>
          </cell>
          <cell r="P99">
            <v>6.9599999999999995E-2</v>
          </cell>
        </row>
        <row r="100">
          <cell r="B100">
            <v>44286</v>
          </cell>
          <cell r="C100">
            <v>8.7800000000000003E-2</v>
          </cell>
          <cell r="D100">
            <v>0.17519999999999999</v>
          </cell>
          <cell r="E100">
            <v>0.17519999999999999</v>
          </cell>
          <cell r="F100">
            <v>7.0699999999999999E-2</v>
          </cell>
          <cell r="G100">
            <v>0.15279999999999999</v>
          </cell>
          <cell r="H100">
            <v>7.0699999999999999E-2</v>
          </cell>
          <cell r="I100">
            <v>1.67E-2</v>
          </cell>
          <cell r="J100">
            <v>7.5899999999999995E-2</v>
          </cell>
          <cell r="K100">
            <v>4.5900000000000003E-2</v>
          </cell>
          <cell r="L100">
            <v>2.07E-2</v>
          </cell>
          <cell r="M100">
            <v>6.8999999999999999E-3</v>
          </cell>
          <cell r="N100">
            <v>6.8999999999999999E-3</v>
          </cell>
          <cell r="O100">
            <v>6.8999999999999999E-3</v>
          </cell>
          <cell r="P100">
            <v>6.8999999999999999E-3</v>
          </cell>
        </row>
        <row r="101">
          <cell r="B101">
            <v>44377</v>
          </cell>
          <cell r="C101">
            <v>0.12759999999999999</v>
          </cell>
          <cell r="D101">
            <v>0.13519999999999999</v>
          </cell>
          <cell r="E101">
            <v>0.13519999999999999</v>
          </cell>
          <cell r="F101">
            <v>0.14399999999999999</v>
          </cell>
          <cell r="G101">
            <v>9.1899999999999996E-2</v>
          </cell>
          <cell r="H101">
            <v>0.14399999999999999</v>
          </cell>
          <cell r="I101">
            <v>3.0599999999999999E-2</v>
          </cell>
          <cell r="J101">
            <v>7.4899999999999994E-2</v>
          </cell>
          <cell r="K101">
            <v>8.5199999999999998E-2</v>
          </cell>
          <cell r="L101">
            <v>7.0999999999999994E-2</v>
          </cell>
          <cell r="M101">
            <v>3.1300000000000001E-2</v>
          </cell>
          <cell r="N101">
            <v>3.1300000000000001E-2</v>
          </cell>
          <cell r="O101">
            <v>3.1300000000000001E-2</v>
          </cell>
          <cell r="P101">
            <v>3.1300000000000001E-2</v>
          </cell>
        </row>
        <row r="102">
          <cell r="B102">
            <v>44469</v>
          </cell>
          <cell r="C102">
            <v>6.2399999999999997E-2</v>
          </cell>
          <cell r="D102">
            <v>0.1061</v>
          </cell>
          <cell r="E102">
            <v>0.1061</v>
          </cell>
          <cell r="F102">
            <v>9.4299999999999995E-2</v>
          </cell>
          <cell r="G102">
            <v>3.09E-2</v>
          </cell>
          <cell r="H102">
            <v>9.4299999999999995E-2</v>
          </cell>
          <cell r="I102">
            <v>1.7100000000000001E-2</v>
          </cell>
          <cell r="J102">
            <v>3.9399999999999998E-2</v>
          </cell>
          <cell r="K102">
            <v>-1.6E-2</v>
          </cell>
          <cell r="L102">
            <v>8.6499999999999994E-2</v>
          </cell>
          <cell r="M102">
            <v>1.7299999999999999E-2</v>
          </cell>
          <cell r="N102">
            <v>1.7299999999999999E-2</v>
          </cell>
          <cell r="O102">
            <v>1.7299999999999999E-2</v>
          </cell>
          <cell r="P102">
            <v>1.7299999999999999E-2</v>
          </cell>
        </row>
        <row r="103">
          <cell r="B103">
            <v>44561</v>
          </cell>
          <cell r="C103">
            <v>6.6500000000000004E-2</v>
          </cell>
          <cell r="D103">
            <v>8.0799999999999997E-2</v>
          </cell>
          <cell r="E103">
            <v>8.0799999999999997E-2</v>
          </cell>
          <cell r="F103">
            <v>8.1000000000000003E-2</v>
          </cell>
          <cell r="G103">
            <v>4.9399999999999999E-2</v>
          </cell>
          <cell r="H103">
            <v>8.1000000000000003E-2</v>
          </cell>
          <cell r="I103">
            <v>1.9800000000000002E-2</v>
          </cell>
          <cell r="J103">
            <v>3.6299999999999999E-2</v>
          </cell>
          <cell r="K103">
            <v>2.8000000000000001E-2</v>
          </cell>
          <cell r="L103">
            <v>9.2399999999999996E-2</v>
          </cell>
          <cell r="M103">
            <v>2.58E-2</v>
          </cell>
          <cell r="N103">
            <v>2.58E-2</v>
          </cell>
          <cell r="O103">
            <v>2.58E-2</v>
          </cell>
          <cell r="P103">
            <v>2.58E-2</v>
          </cell>
        </row>
        <row r="104">
          <cell r="B104">
            <v>44651</v>
          </cell>
          <cell r="C104">
            <v>4.8999999999999998E-3</v>
          </cell>
          <cell r="D104">
            <v>-5.5800000000000002E-2</v>
          </cell>
          <cell r="E104">
            <v>-5.5800000000000002E-2</v>
          </cell>
          <cell r="F104">
            <v>4.0000000000000001E-3</v>
          </cell>
          <cell r="G104">
            <v>-2.4400000000000002E-2</v>
          </cell>
          <cell r="H104">
            <v>4.0000000000000001E-3</v>
          </cell>
          <cell r="I104">
            <v>2.6599999999999999E-2</v>
          </cell>
          <cell r="J104">
            <v>2.3699999999999999E-2</v>
          </cell>
          <cell r="K104">
            <v>-3.8699999999999998E-2</v>
          </cell>
          <cell r="L104">
            <v>5.79E-2</v>
          </cell>
          <cell r="M104">
            <v>-1.9E-3</v>
          </cell>
          <cell r="N104">
            <v>-1.9E-3</v>
          </cell>
          <cell r="O104">
            <v>-1.9E-3</v>
          </cell>
          <cell r="P104">
            <v>-1.9E-3</v>
          </cell>
        </row>
        <row r="105">
          <cell r="B105">
            <v>44742</v>
          </cell>
          <cell r="C105">
            <v>-3.56E-2</v>
          </cell>
          <cell r="D105">
            <v>-0.13300000000000001</v>
          </cell>
          <cell r="E105">
            <v>-0.13300000000000001</v>
          </cell>
          <cell r="F105">
            <v>-3.3300000000000003E-2</v>
          </cell>
          <cell r="G105">
            <v>-4.5499999999999999E-2</v>
          </cell>
          <cell r="H105">
            <v>-3.3300000000000003E-2</v>
          </cell>
          <cell r="I105">
            <v>-1.29E-2</v>
          </cell>
          <cell r="J105">
            <v>-1.7100000000000001E-2</v>
          </cell>
          <cell r="K105">
            <v>-1.12E-2</v>
          </cell>
          <cell r="L105">
            <v>-2.7000000000000001E-3</v>
          </cell>
          <cell r="M105">
            <v>-1.21E-2</v>
          </cell>
          <cell r="N105">
            <v>-1.21E-2</v>
          </cell>
          <cell r="O105">
            <v>-1.21E-2</v>
          </cell>
          <cell r="P105">
            <v>-1.21E-2</v>
          </cell>
        </row>
        <row r="106">
          <cell r="B106">
            <v>44834</v>
          </cell>
          <cell r="C106">
            <v>-1.5299999999999999E-2</v>
          </cell>
          <cell r="D106">
            <v>-2.46E-2</v>
          </cell>
          <cell r="E106">
            <v>-2.46E-2</v>
          </cell>
          <cell r="F106">
            <v>-1.9400000000000001E-2</v>
          </cell>
          <cell r="G106">
            <v>-3.7499999999999999E-2</v>
          </cell>
          <cell r="H106">
            <v>-1.9400000000000001E-2</v>
          </cell>
          <cell r="I106">
            <v>-0.01</v>
          </cell>
          <cell r="J106">
            <v>1.03E-2</v>
          </cell>
          <cell r="K106">
            <v>-0.04</v>
          </cell>
          <cell r="L106">
            <v>-1.52E-2</v>
          </cell>
          <cell r="M106">
            <v>-2.7400000000000001E-2</v>
          </cell>
          <cell r="N106">
            <v>-2.7400000000000001E-2</v>
          </cell>
          <cell r="O106">
            <v>-2.7400000000000001E-2</v>
          </cell>
          <cell r="P106">
            <v>-2.7400000000000001E-2</v>
          </cell>
        </row>
        <row r="107">
          <cell r="B107">
            <v>44926</v>
          </cell>
          <cell r="C107">
            <v>3.6999999999999998E-2</v>
          </cell>
          <cell r="D107">
            <v>-7.7799999999999994E-2</v>
          </cell>
          <cell r="E107">
            <v>-7.7799999999999994E-2</v>
          </cell>
          <cell r="F107">
            <v>1.3899999999999999E-2</v>
          </cell>
          <cell r="G107">
            <v>-1.0699999999999999E-2</v>
          </cell>
          <cell r="H107">
            <v>1.3899999999999999E-2</v>
          </cell>
          <cell r="I107">
            <v>4.1000000000000002E-2</v>
          </cell>
          <cell r="J107">
            <v>3.15E-2</v>
          </cell>
          <cell r="K107">
            <v>1.47E-2</v>
          </cell>
          <cell r="L107">
            <v>-1.9E-2</v>
          </cell>
          <cell r="M107">
            <v>8.5199999999999998E-2</v>
          </cell>
          <cell r="N107">
            <v>8.5199999999999998E-2</v>
          </cell>
          <cell r="O107">
            <v>8.5199999999999998E-2</v>
          </cell>
          <cell r="P107">
            <v>8.5199999999999998E-2</v>
          </cell>
        </row>
        <row r="108">
          <cell r="B108">
            <v>45016</v>
          </cell>
          <cell r="C108">
            <v>3.09E-2</v>
          </cell>
          <cell r="D108">
            <v>2.0000000000000001E-4</v>
          </cell>
          <cell r="E108">
            <v>2.0000000000000001E-4</v>
          </cell>
          <cell r="F108">
            <v>1.5299999999999999E-2</v>
          </cell>
          <cell r="G108">
            <v>1.0999999999999999E-2</v>
          </cell>
          <cell r="H108">
            <v>1.5299999999999999E-2</v>
          </cell>
          <cell r="I108">
            <v>3.3399999999999999E-2</v>
          </cell>
          <cell r="J108">
            <v>2.53E-2</v>
          </cell>
          <cell r="K108">
            <v>1.43E-2</v>
          </cell>
          <cell r="L108">
            <v>-6.7000000000000002E-3</v>
          </cell>
          <cell r="M108">
            <v>3.0800000000000001E-2</v>
          </cell>
          <cell r="N108">
            <v>3.0800000000000001E-2</v>
          </cell>
          <cell r="O108">
            <v>3.0800000000000001E-2</v>
          </cell>
          <cell r="P108">
            <v>3.0800000000000001E-2</v>
          </cell>
        </row>
        <row r="109">
          <cell r="B109">
            <v>45107</v>
          </cell>
          <cell r="C109">
            <v>2.52E-2</v>
          </cell>
          <cell r="D109">
            <v>4.3E-3</v>
          </cell>
          <cell r="E109">
            <v>4.3E-3</v>
          </cell>
          <cell r="F109">
            <v>1.3299999999999999E-2</v>
          </cell>
          <cell r="G109">
            <v>-5.7000000000000002E-3</v>
          </cell>
          <cell r="H109">
            <v>1.3299999999999999E-2</v>
          </cell>
          <cell r="I109">
            <v>3.2199999999999999E-2</v>
          </cell>
          <cell r="J109">
            <v>2.41E-2</v>
          </cell>
          <cell r="K109">
            <v>-8.0000000000000002E-3</v>
          </cell>
          <cell r="L109">
            <v>-1.1900000000000001E-2</v>
          </cell>
          <cell r="M109">
            <v>1.9300000000000001E-2</v>
          </cell>
          <cell r="N109">
            <v>1.9300000000000001E-2</v>
          </cell>
          <cell r="O109">
            <v>1.9300000000000001E-2</v>
          </cell>
          <cell r="P109">
            <v>1.9300000000000001E-2</v>
          </cell>
        </row>
        <row r="110">
          <cell r="B110">
            <v>45199</v>
          </cell>
          <cell r="C110">
            <v>2.0000000000000001E-4</v>
          </cell>
          <cell r="D110">
            <v>-2.5100000000000001E-2</v>
          </cell>
          <cell r="E110">
            <v>-2.5100000000000001E-2</v>
          </cell>
          <cell r="F110">
            <v>2.8999999999999998E-3</v>
          </cell>
          <cell r="G110">
            <v>-1.5800000000000002E-2</v>
          </cell>
          <cell r="H110">
            <v>2.8999999999999998E-3</v>
          </cell>
          <cell r="I110">
            <v>2.3E-2</v>
          </cell>
          <cell r="J110">
            <v>2.3599999999999999E-2</v>
          </cell>
          <cell r="K110">
            <v>1.4E-3</v>
          </cell>
          <cell r="L110">
            <v>-3.04E-2</v>
          </cell>
          <cell r="M110">
            <v>-7.6E-3</v>
          </cell>
          <cell r="N110">
            <v>-7.6E-3</v>
          </cell>
          <cell r="O110">
            <v>-7.6E-3</v>
          </cell>
          <cell r="P110">
            <v>-7.6E-3</v>
          </cell>
        </row>
        <row r="111">
          <cell r="B111">
            <v>45291</v>
          </cell>
          <cell r="C111">
            <v>3.6799999999999999E-2</v>
          </cell>
          <cell r="D111">
            <v>1.3599999999999999E-2</v>
          </cell>
          <cell r="E111">
            <v>1.3599999999999999E-2</v>
          </cell>
          <cell r="F111">
            <v>3.3399999999999999E-2</v>
          </cell>
          <cell r="G111">
            <v>1.5299999999999999E-2</v>
          </cell>
          <cell r="H111">
            <v>3.3399999999999999E-2</v>
          </cell>
          <cell r="I111">
            <v>3.9699999999999999E-2</v>
          </cell>
          <cell r="J111">
            <v>3.5700000000000003E-2</v>
          </cell>
          <cell r="K111">
            <v>2.3E-2</v>
          </cell>
          <cell r="L111">
            <v>-3.4500000000000003E-2</v>
          </cell>
          <cell r="M111">
            <v>4.4299999999999999E-2</v>
          </cell>
          <cell r="N111">
            <v>4.4299999999999999E-2</v>
          </cell>
          <cell r="O111">
            <v>4.4299999999999999E-2</v>
          </cell>
          <cell r="P111">
            <v>4.4299999999999999E-2</v>
          </cell>
        </row>
        <row r="112">
          <cell r="B112">
            <v>45382</v>
          </cell>
          <cell r="C112">
            <v>1.1900000000000001E-2</v>
          </cell>
          <cell r="D112">
            <v>1.66E-2</v>
          </cell>
          <cell r="E112">
            <v>1.66E-2</v>
          </cell>
          <cell r="F112">
            <v>1.54E-2</v>
          </cell>
          <cell r="G112">
            <v>6.8999999999999999E-3</v>
          </cell>
          <cell r="H112">
            <v>1.54E-2</v>
          </cell>
          <cell r="I112">
            <v>1.3299999999999999E-2</v>
          </cell>
          <cell r="J112">
            <v>2.18E-2</v>
          </cell>
          <cell r="K112">
            <v>-1.38E-2</v>
          </cell>
          <cell r="L112">
            <v>-1.2E-2</v>
          </cell>
          <cell r="M112">
            <v>-4.8999999999999998E-3</v>
          </cell>
          <cell r="N112">
            <v>-4.8999999999999998E-3</v>
          </cell>
          <cell r="O112">
            <v>-4.8999999999999998E-3</v>
          </cell>
          <cell r="P112">
            <v>-4.8999999999999998E-3</v>
          </cell>
        </row>
        <row r="113">
          <cell r="B113">
            <v>45473</v>
          </cell>
          <cell r="C113">
            <v>1.37E-2</v>
          </cell>
          <cell r="D113">
            <v>4.3E-3</v>
          </cell>
          <cell r="E113">
            <v>4.3E-3</v>
          </cell>
          <cell r="F113">
            <v>6.8999999999999999E-3</v>
          </cell>
          <cell r="G113">
            <v>-2.8999999999999998E-3</v>
          </cell>
          <cell r="H113">
            <v>6.8999999999999999E-3</v>
          </cell>
          <cell r="I113">
            <v>2.76E-2</v>
          </cell>
          <cell r="J113">
            <v>1.6500000000000001E-2</v>
          </cell>
          <cell r="K113">
            <v>3.0999999999999999E-3</v>
          </cell>
          <cell r="L113">
            <v>-7.1999999999999998E-3</v>
          </cell>
          <cell r="M113">
            <v>1.09E-2</v>
          </cell>
          <cell r="N113">
            <v>1.09E-2</v>
          </cell>
          <cell r="O113">
            <v>1.09E-2</v>
          </cell>
          <cell r="P113">
            <v>1.09E-2</v>
          </cell>
        </row>
        <row r="114">
          <cell r="B114">
            <v>45565</v>
          </cell>
          <cell r="C114">
            <v>3.0099999999999998E-2</v>
          </cell>
          <cell r="D114">
            <v>2.46E-2</v>
          </cell>
          <cell r="E114">
            <v>2.46E-2</v>
          </cell>
          <cell r="F114">
            <v>1.9099999999999999E-2</v>
          </cell>
          <cell r="G114">
            <v>1.8100000000000002E-2</v>
          </cell>
          <cell r="H114">
            <v>1.9099999999999999E-2</v>
          </cell>
          <cell r="I114">
            <v>3.3500000000000002E-2</v>
          </cell>
          <cell r="J114">
            <v>2.5600000000000001E-2</v>
          </cell>
          <cell r="K114">
            <v>3.3099999999999997E-2</v>
          </cell>
          <cell r="L114">
            <v>3.0999999999999999E-3</v>
          </cell>
          <cell r="M114">
            <v>5.6399999999999999E-2</v>
          </cell>
          <cell r="N114">
            <v>5.6399999999999999E-2</v>
          </cell>
          <cell r="O114">
            <v>5.6399999999999999E-2</v>
          </cell>
          <cell r="P114">
            <v>5.6399999999999999E-2</v>
          </cell>
        </row>
        <row r="115">
          <cell r="B115">
            <v>45657</v>
          </cell>
          <cell r="C115">
            <v>5.0000000000000001E-3</v>
          </cell>
          <cell r="D115">
            <v>4.02E-2</v>
          </cell>
          <cell r="E115">
            <v>4.02E-2</v>
          </cell>
          <cell r="F115">
            <v>6.3E-3</v>
          </cell>
          <cell r="G115">
            <v>4.1999999999999997E-3</v>
          </cell>
          <cell r="H115">
            <v>6.3E-3</v>
          </cell>
          <cell r="I115">
            <v>-4.0000000000000001E-3</v>
          </cell>
          <cell r="J115">
            <v>1.1299999999999999E-2</v>
          </cell>
          <cell r="K115">
            <v>-6.4000000000000003E-3</v>
          </cell>
          <cell r="L115">
            <v>-2.3900000000000001E-2</v>
          </cell>
          <cell r="M115">
            <v>-3.1399999999999997E-2</v>
          </cell>
          <cell r="N115">
            <v>-3.1399999999999997E-2</v>
          </cell>
          <cell r="O115">
            <v>-3.1399999999999997E-2</v>
          </cell>
          <cell r="P115">
            <v>-3.1399999999999997E-2</v>
          </cell>
        </row>
        <row r="116">
          <cell r="B116">
            <v>45747</v>
          </cell>
          <cell r="C116">
            <v>1.7999999999999999E-2</v>
          </cell>
          <cell r="D116">
            <v>3.3300000000000003E-2</v>
          </cell>
          <cell r="E116">
            <v>3.3300000000000003E-2</v>
          </cell>
          <cell r="F116">
            <v>1.21E-2</v>
          </cell>
          <cell r="G116">
            <v>1.4E-2</v>
          </cell>
          <cell r="H116">
            <v>1.21E-2</v>
          </cell>
          <cell r="I116">
            <v>3.1699999999999999E-2</v>
          </cell>
          <cell r="J116">
            <v>1.7100000000000001E-2</v>
          </cell>
          <cell r="K116">
            <v>1.6E-2</v>
          </cell>
          <cell r="L116">
            <v>7.4000000000000003E-3</v>
          </cell>
          <cell r="M116">
            <v>3.0700000000000002E-2</v>
          </cell>
          <cell r="N116">
            <v>3.0700000000000002E-2</v>
          </cell>
          <cell r="O116">
            <v>3.0700000000000002E-2</v>
          </cell>
          <cell r="P116">
            <v>3.0700000000000002E-2</v>
          </cell>
        </row>
        <row r="117">
          <cell r="B117">
            <v>45838</v>
          </cell>
          <cell r="C117">
            <v>4.3200000000000002E-2</v>
          </cell>
          <cell r="D117">
            <v>5.2499999999999998E-2</v>
          </cell>
          <cell r="E117">
            <v>5.2499999999999998E-2</v>
          </cell>
          <cell r="F117">
            <v>2.7300000000000001E-2</v>
          </cell>
          <cell r="G117">
            <v>3.8100000000000002E-2</v>
          </cell>
          <cell r="H117">
            <v>2.7300000000000001E-2</v>
          </cell>
          <cell r="I117">
            <v>3.7199999999999997E-2</v>
          </cell>
          <cell r="J117">
            <v>3.7900000000000003E-2</v>
          </cell>
          <cell r="K117">
            <v>3.7900000000000003E-2</v>
          </cell>
          <cell r="L117">
            <v>1.7000000000000001E-2</v>
          </cell>
          <cell r="M117">
            <v>8.1900000000000001E-2</v>
          </cell>
          <cell r="N117">
            <v>8.1900000000000001E-2</v>
          </cell>
          <cell r="O117">
            <v>8.1900000000000001E-2</v>
          </cell>
          <cell r="P117">
            <v>8.1900000000000001E-2</v>
          </cell>
        </row>
        <row r="118">
          <cell r="B118">
            <v>45930</v>
          </cell>
          <cell r="C118">
            <v>1.5900000000000001E-2</v>
          </cell>
          <cell r="D118">
            <v>7.4200000000000002E-2</v>
          </cell>
          <cell r="E118">
            <v>7.4200000000000002E-2</v>
          </cell>
          <cell r="F118">
            <v>2.5499999999999998E-2</v>
          </cell>
          <cell r="G118">
            <v>3.9600000000000003E-2</v>
          </cell>
          <cell r="H118">
            <v>2.5499999999999998E-2</v>
          </cell>
          <cell r="I118">
            <v>1.5599999999999999E-2</v>
          </cell>
          <cell r="J118">
            <v>2.0299999999999999E-2</v>
          </cell>
          <cell r="K118">
            <v>3.6299999999999999E-2</v>
          </cell>
          <cell r="L118">
            <v>-3.7000000000000002E-3</v>
          </cell>
          <cell r="M118">
            <v>7.7999999999999996E-3</v>
          </cell>
          <cell r="N118">
            <v>7.7999999999999996E-3</v>
          </cell>
          <cell r="O118">
            <v>7.7999999999999996E-3</v>
          </cell>
          <cell r="P118">
            <v>7.7999999999999996E-3</v>
          </cell>
        </row>
        <row r="119">
          <cell r="B119">
            <v>46022</v>
          </cell>
          <cell r="C119">
            <v>1.9400000000000001E-2</v>
          </cell>
          <cell r="D119">
            <v>8.8900000000000007E-2</v>
          </cell>
          <cell r="E119">
            <v>8.8900000000000007E-2</v>
          </cell>
          <cell r="F119">
            <v>1.32E-2</v>
          </cell>
          <cell r="G119">
            <v>3.5900000000000001E-2</v>
          </cell>
          <cell r="H119">
            <v>1.32E-2</v>
          </cell>
          <cell r="I119">
            <v>9.4999999999999998E-3</v>
          </cell>
          <cell r="J119">
            <v>1.47E-2</v>
          </cell>
          <cell r="K119">
            <v>2.7799999999999998E-2</v>
          </cell>
          <cell r="L119">
            <v>8.0000000000000004E-4</v>
          </cell>
          <cell r="M119">
            <v>1.7000000000000001E-2</v>
          </cell>
          <cell r="N119">
            <v>1.7000000000000001E-2</v>
          </cell>
          <cell r="O119">
            <v>1.7000000000000001E-2</v>
          </cell>
          <cell r="P119">
            <v>1.7000000000000001E-2</v>
          </cell>
        </row>
        <row r="120">
          <cell r="B120">
            <v>46112</v>
          </cell>
          <cell r="C120">
            <v>-9.1999999999999998E-3</v>
          </cell>
          <cell r="D120">
            <v>3.8100000000000002E-2</v>
          </cell>
          <cell r="E120">
            <v>3.8100000000000002E-2</v>
          </cell>
          <cell r="F120">
            <v>-5.7999999999999996E-3</v>
          </cell>
          <cell r="G120">
            <v>5.4000000000000003E-3</v>
          </cell>
          <cell r="H120">
            <v>-5.7999999999999996E-3</v>
          </cell>
          <cell r="I120">
            <v>-1.6000000000000001E-3</v>
          </cell>
          <cell r="J120">
            <v>1.14E-2</v>
          </cell>
          <cell r="K120">
            <v>1.8599999999999998E-2</v>
          </cell>
          <cell r="L120">
            <v>-5.3E-3</v>
          </cell>
          <cell r="M120">
            <v>-6.8999999999999999E-3</v>
          </cell>
          <cell r="N120">
            <v>-6.8999999999999999E-3</v>
          </cell>
          <cell r="O120">
            <v>-6.8999999999999999E-3</v>
          </cell>
          <cell r="P120">
            <v>-6.8999999999999999E-3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9" sqref="B49"/>
    </sheetView>
  </sheetViews>
  <sheetFormatPr defaultRowHeight="12" x14ac:dyDescent="0.2"/>
  <cols>
    <col min="1" max="1" width="11.28515625" bestFit="1" customWidth="1"/>
  </cols>
  <sheetData>
    <row r="1" spans="1:22" x14ac:dyDescent="0.2">
      <c r="A1" s="5"/>
      <c r="B1" s="6" t="s">
        <v>0</v>
      </c>
      <c r="C1" s="7"/>
      <c r="D1" s="7"/>
      <c r="E1" s="7"/>
      <c r="F1" s="7"/>
      <c r="G1" s="7"/>
      <c r="H1" s="7"/>
      <c r="I1" s="7"/>
      <c r="J1" s="7"/>
      <c r="K1" s="8"/>
      <c r="L1" s="6" t="s">
        <v>1</v>
      </c>
      <c r="M1" s="7"/>
      <c r="N1" s="7"/>
      <c r="O1" s="7"/>
      <c r="P1" s="7"/>
      <c r="Q1" s="8"/>
      <c r="R1" s="6" t="s">
        <v>2</v>
      </c>
      <c r="S1" s="7"/>
      <c r="T1" s="7"/>
      <c r="U1" s="7"/>
      <c r="V1" s="8"/>
    </row>
    <row r="2" spans="1:22" x14ac:dyDescent="0.2">
      <c r="A2" s="9"/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41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</row>
    <row r="3" spans="1:22" ht="12.75" thickBot="1" x14ac:dyDescent="0.25">
      <c r="A3" s="11" t="s">
        <v>38</v>
      </c>
      <c r="B3" s="10" t="s">
        <v>23</v>
      </c>
      <c r="C3" s="10" t="s">
        <v>24</v>
      </c>
      <c r="D3" s="10" t="s">
        <v>24</v>
      </c>
      <c r="E3" s="10" t="s">
        <v>25</v>
      </c>
      <c r="F3" s="10" t="s">
        <v>26</v>
      </c>
      <c r="G3" s="10" t="s">
        <v>25</v>
      </c>
      <c r="H3" s="10" t="s">
        <v>27</v>
      </c>
      <c r="I3" s="10" t="s">
        <v>28</v>
      </c>
      <c r="J3" s="10" t="s">
        <v>29</v>
      </c>
      <c r="K3" s="10" t="s">
        <v>30</v>
      </c>
      <c r="L3" s="10" t="s">
        <v>31</v>
      </c>
      <c r="M3" s="10" t="s">
        <v>32</v>
      </c>
      <c r="N3" s="10" t="s">
        <v>31</v>
      </c>
      <c r="O3" s="10" t="s">
        <v>33</v>
      </c>
      <c r="P3" s="10" t="s">
        <v>34</v>
      </c>
      <c r="Q3" s="10" t="s">
        <v>35</v>
      </c>
      <c r="R3" s="10" t="s">
        <v>36</v>
      </c>
      <c r="S3" s="10" t="s">
        <v>36</v>
      </c>
      <c r="T3" s="10" t="s">
        <v>36</v>
      </c>
      <c r="U3" s="10" t="s">
        <v>36</v>
      </c>
      <c r="V3" s="10" t="s">
        <v>37</v>
      </c>
    </row>
    <row r="4" spans="1:22" ht="12.75" thickTop="1" x14ac:dyDescent="0.2">
      <c r="A4" s="4">
        <v>36616</v>
      </c>
      <c r="B4" s="2">
        <f>VLOOKUP($A4,[1]Burgiss_Return!$B:$P,MATCH(B$2,[1]Burgiss_Return!$B$5:$P$5,0),0)</f>
        <v>0.1103</v>
      </c>
      <c r="C4" s="2">
        <f>VLOOKUP($A4,[1]Burgiss_Return!$B:$P,MATCH(C$2,[1]Burgiss_Return!$B$5:$P$5,0),0)</f>
        <v>0.15329999999999999</v>
      </c>
      <c r="D4" s="2">
        <f>VLOOKUP($A4,[1]Burgiss_Return!$B:$P,MATCH(D$2,[1]Burgiss_Return!$B$5:$P$5,0),0)</f>
        <v>0.15329999999999999</v>
      </c>
      <c r="E4" s="2"/>
      <c r="F4" s="2">
        <f>VLOOKUP($A4,[1]Burgiss_Return!$B:$P,MATCH(F$2,[1]Burgiss_Return!$B$5:$P$5,0),0)</f>
        <v>5.3E-3</v>
      </c>
      <c r="G4" s="2"/>
      <c r="H4" s="2"/>
      <c r="I4" s="2">
        <f>VLOOKUP($A4,[1]Burgiss_Return!$B:$P,MATCH(I$2,[1]Burgiss_Return!$B$5:$P$5,0),0)</f>
        <v>1.14E-2</v>
      </c>
      <c r="J4" s="2">
        <f>VLOOKUP($A4,[1]Burgiss_Return!$B:$P,MATCH(J$2,[1]Burgiss_Return!$B$5:$P$5,0),0)</f>
        <v>3.8300000000000001E-2</v>
      </c>
      <c r="K4" s="2">
        <v>4.8656060812545698E-2</v>
      </c>
      <c r="L4" s="2"/>
      <c r="M4" s="2">
        <f>VLOOKUP($A4,[1]Burgiss_Return!$B:$P,MATCH(M$2,[1]Burgiss_Return!$B$5:$P$5,0),0)</f>
        <v>3.3399999999999999E-2</v>
      </c>
      <c r="N4" s="2"/>
      <c r="O4" s="2"/>
      <c r="P4" s="2"/>
      <c r="Q4" s="2">
        <v>-2.4799999999999933E-2</v>
      </c>
      <c r="R4" s="2"/>
      <c r="S4" s="2"/>
      <c r="T4" s="2"/>
      <c r="U4" s="2"/>
      <c r="V4" s="2"/>
    </row>
    <row r="5" spans="1:22" x14ac:dyDescent="0.2">
      <c r="A5" s="3">
        <v>36707</v>
      </c>
      <c r="B5" s="2">
        <f>VLOOKUP($A5,[1]Burgiss_Return!$B:$P,MATCH(B$2,[1]Burgiss_Return!$B$5:$P$5,0),0)</f>
        <v>-8.9999999999999998E-4</v>
      </c>
      <c r="C5" s="2">
        <f>VLOOKUP($A5,[1]Burgiss_Return!$B:$P,MATCH(C$2,[1]Burgiss_Return!$B$5:$P$5,0),0)</f>
        <v>7.51E-2</v>
      </c>
      <c r="D5" s="2">
        <f>VLOOKUP($A5,[1]Burgiss_Return!$B:$P,MATCH(D$2,[1]Burgiss_Return!$B$5:$P$5,0),0)</f>
        <v>7.51E-2</v>
      </c>
      <c r="E5" s="2"/>
      <c r="F5" s="2">
        <f>VLOOKUP($A5,[1]Burgiss_Return!$B:$P,MATCH(F$2,[1]Burgiss_Return!$B$5:$P$5,0),0)</f>
        <v>3.6299999999999999E-2</v>
      </c>
      <c r="G5" s="2"/>
      <c r="H5" s="2"/>
      <c r="I5" s="2">
        <f>VLOOKUP($A5,[1]Burgiss_Return!$B:$P,MATCH(I$2,[1]Burgiss_Return!$B$5:$P$5,0),0)</f>
        <v>1.5900000000000001E-2</v>
      </c>
      <c r="J5" s="2">
        <f>VLOOKUP($A5,[1]Burgiss_Return!$B:$P,MATCH(J$2,[1]Burgiss_Return!$B$5:$P$5,0),0)</f>
        <v>-8.5199999999999998E-2</v>
      </c>
      <c r="K5" s="2">
        <v>-5.5559233583125645E-3</v>
      </c>
      <c r="L5" s="2"/>
      <c r="M5" s="2">
        <f>VLOOKUP($A5,[1]Burgiss_Return!$B:$P,MATCH(M$2,[1]Burgiss_Return!$B$5:$P$5,0),0)</f>
        <v>5.6599999999999998E-2</v>
      </c>
      <c r="N5" s="2"/>
      <c r="O5" s="2"/>
      <c r="P5" s="2"/>
      <c r="Q5" s="2">
        <v>3.6095159967186152E-2</v>
      </c>
      <c r="R5" s="2"/>
      <c r="S5" s="2"/>
      <c r="T5" s="2"/>
      <c r="U5" s="2"/>
      <c r="V5" s="2"/>
    </row>
    <row r="6" spans="1:22" x14ac:dyDescent="0.2">
      <c r="A6" s="3">
        <v>36799</v>
      </c>
      <c r="B6" s="2">
        <f>VLOOKUP($A6,[1]Burgiss_Return!$B:$P,MATCH(B$2,[1]Burgiss_Return!$B$5:$P$5,0),0)</f>
        <v>-2.9499999999999998E-2</v>
      </c>
      <c r="C6" s="2">
        <f>VLOOKUP($A6,[1]Burgiss_Return!$B:$P,MATCH(C$2,[1]Burgiss_Return!$B$5:$P$5,0),0)</f>
        <v>0.1497</v>
      </c>
      <c r="D6" s="2">
        <f>VLOOKUP($A6,[1]Burgiss_Return!$B:$P,MATCH(D$2,[1]Burgiss_Return!$B$5:$P$5,0),0)</f>
        <v>0.1497</v>
      </c>
      <c r="E6" s="2"/>
      <c r="F6" s="2">
        <f>VLOOKUP($A6,[1]Burgiss_Return!$B:$P,MATCH(F$2,[1]Burgiss_Return!$B$5:$P$5,0),0)</f>
        <v>8.8999999999999999E-3</v>
      </c>
      <c r="G6" s="2"/>
      <c r="H6" s="2"/>
      <c r="I6" s="2">
        <f>VLOOKUP($A6,[1]Burgiss_Return!$B:$P,MATCH(I$2,[1]Burgiss_Return!$B$5:$P$5,0),0)</f>
        <v>3.6799999999999999E-2</v>
      </c>
      <c r="J6" s="2">
        <f>VLOOKUP($A6,[1]Burgiss_Return!$B:$P,MATCH(J$2,[1]Burgiss_Return!$B$5:$P$5,0),0)</f>
        <v>-4.53E-2</v>
      </c>
      <c r="K6" s="2">
        <v>8.5359624929111089E-3</v>
      </c>
      <c r="L6" s="2"/>
      <c r="M6" s="2">
        <f>VLOOKUP($A6,[1]Burgiss_Return!$B:$P,MATCH(M$2,[1]Burgiss_Return!$B$5:$P$5,0),0)</f>
        <v>1.14E-2</v>
      </c>
      <c r="N6" s="2"/>
      <c r="O6" s="2"/>
      <c r="P6" s="2"/>
      <c r="Q6" s="2">
        <v>7.4871338083927208E-2</v>
      </c>
      <c r="R6" s="2"/>
      <c r="S6" s="2"/>
      <c r="T6" s="2"/>
      <c r="U6" s="2"/>
      <c r="V6" s="2"/>
    </row>
    <row r="7" spans="1:22" x14ac:dyDescent="0.2">
      <c r="A7" s="3">
        <v>36891</v>
      </c>
      <c r="B7" s="2">
        <f>VLOOKUP($A7,[1]Burgiss_Return!$B:$P,MATCH(B$2,[1]Burgiss_Return!$B$5:$P$5,0),0)</f>
        <v>-3.0599999999999999E-2</v>
      </c>
      <c r="C7" s="2">
        <f>VLOOKUP($A7,[1]Burgiss_Return!$B:$P,MATCH(C$2,[1]Burgiss_Return!$B$5:$P$5,0),0)</f>
        <v>-0.1013</v>
      </c>
      <c r="D7" s="2">
        <f>VLOOKUP($A7,[1]Burgiss_Return!$B:$P,MATCH(D$2,[1]Burgiss_Return!$B$5:$P$5,0),0)</f>
        <v>-0.1013</v>
      </c>
      <c r="E7" s="2"/>
      <c r="F7" s="2">
        <f>VLOOKUP($A7,[1]Burgiss_Return!$B:$P,MATCH(F$2,[1]Burgiss_Return!$B$5:$P$5,0),0)</f>
        <v>-5.7500000000000002E-2</v>
      </c>
      <c r="G7" s="2"/>
      <c r="H7" s="2"/>
      <c r="I7" s="2">
        <f>VLOOKUP($A7,[1]Burgiss_Return!$B:$P,MATCH(I$2,[1]Burgiss_Return!$B$5:$P$5,0),0)</f>
        <v>-1.83E-2</v>
      </c>
      <c r="J7" s="2">
        <f>VLOOKUP($A7,[1]Burgiss_Return!$B:$P,MATCH(J$2,[1]Burgiss_Return!$B$5:$P$5,0),0)</f>
        <v>-7.2900000000000006E-2</v>
      </c>
      <c r="K7" s="2">
        <v>5.6814788400101346E-3</v>
      </c>
      <c r="L7" s="2"/>
      <c r="M7" s="2">
        <f>VLOOKUP($A7,[1]Burgiss_Return!$B:$P,MATCH(M$2,[1]Burgiss_Return!$B$5:$P$5,0),0)</f>
        <v>6.6600000000000006E-2</v>
      </c>
      <c r="N7" s="2"/>
      <c r="O7" s="2"/>
      <c r="P7" s="2"/>
      <c r="Q7" s="2">
        <v>4.821140831453441E-2</v>
      </c>
      <c r="R7" s="2"/>
      <c r="S7" s="2"/>
      <c r="T7" s="2"/>
      <c r="U7" s="2"/>
      <c r="V7" s="2"/>
    </row>
    <row r="8" spans="1:22" x14ac:dyDescent="0.2">
      <c r="A8" s="3">
        <v>36981</v>
      </c>
      <c r="B8" s="2">
        <f>VLOOKUP($A8,[1]Burgiss_Return!$B:$P,MATCH(B$2,[1]Burgiss_Return!$B$5:$P$5,0),0)</f>
        <v>-6.3500000000000001E-2</v>
      </c>
      <c r="C8" s="2">
        <f>VLOOKUP($A8,[1]Burgiss_Return!$B:$P,MATCH(C$2,[1]Burgiss_Return!$B$5:$P$5,0),0)</f>
        <v>-8.9899999999999994E-2</v>
      </c>
      <c r="D8" s="2">
        <f>VLOOKUP($A8,[1]Burgiss_Return!$B:$P,MATCH(D$2,[1]Burgiss_Return!$B$5:$P$5,0),0)</f>
        <v>-8.9899999999999994E-2</v>
      </c>
      <c r="E8" s="2"/>
      <c r="F8" s="2">
        <f>VLOOKUP($A8,[1]Burgiss_Return!$B:$P,MATCH(F$2,[1]Burgiss_Return!$B$5:$P$5,0),0)</f>
        <v>-1.1900000000000001E-2</v>
      </c>
      <c r="G8" s="2"/>
      <c r="H8" s="2"/>
      <c r="I8" s="2">
        <f>VLOOKUP($A8,[1]Burgiss_Return!$B:$P,MATCH(I$2,[1]Burgiss_Return!$B$5:$P$5,0),0)</f>
        <v>6.4699999999999994E-2</v>
      </c>
      <c r="J8" s="2">
        <f>VLOOKUP($A8,[1]Burgiss_Return!$B:$P,MATCH(J$2,[1]Burgiss_Return!$B$5:$P$5,0),0)</f>
        <v>9.1000000000000004E-3</v>
      </c>
      <c r="K8" s="2">
        <v>1.9250337740455148E-3</v>
      </c>
      <c r="L8" s="2"/>
      <c r="M8" s="2">
        <f>VLOOKUP($A8,[1]Burgiss_Return!$B:$P,MATCH(M$2,[1]Burgiss_Return!$B$5:$P$5,0),0)</f>
        <v>3.1199999999999999E-2</v>
      </c>
      <c r="N8" s="2"/>
      <c r="O8" s="2"/>
      <c r="P8" s="2"/>
      <c r="Q8" s="2">
        <v>-5.0465122407568508E-2</v>
      </c>
      <c r="R8" s="2"/>
      <c r="S8" s="2"/>
      <c r="T8" s="2"/>
      <c r="U8" s="2"/>
      <c r="V8" s="2"/>
    </row>
    <row r="9" spans="1:22" x14ac:dyDescent="0.2">
      <c r="A9" s="3">
        <v>37072</v>
      </c>
      <c r="B9" s="2">
        <f>VLOOKUP($A9,[1]Burgiss_Return!$B:$P,MATCH(B$2,[1]Burgiss_Return!$B$5:$P$5,0),0)</f>
        <v>2.3800000000000002E-2</v>
      </c>
      <c r="C9" s="2">
        <f>VLOOKUP($A9,[1]Burgiss_Return!$B:$P,MATCH(C$2,[1]Burgiss_Return!$B$5:$P$5,0),0)</f>
        <v>-7.46E-2</v>
      </c>
      <c r="D9" s="2">
        <f>VLOOKUP($A9,[1]Burgiss_Return!$B:$P,MATCH(D$2,[1]Burgiss_Return!$B$5:$P$5,0),0)</f>
        <v>-7.46E-2</v>
      </c>
      <c r="E9" s="2"/>
      <c r="F9" s="2">
        <f>VLOOKUP($A9,[1]Burgiss_Return!$B:$P,MATCH(F$2,[1]Burgiss_Return!$B$5:$P$5,0),0)</f>
        <v>-6.08E-2</v>
      </c>
      <c r="G9" s="2"/>
      <c r="H9" s="2"/>
      <c r="I9" s="2">
        <f>VLOOKUP($A9,[1]Burgiss_Return!$B:$P,MATCH(I$2,[1]Burgiss_Return!$B$5:$P$5,0),0)</f>
        <v>2.9000000000000001E-2</v>
      </c>
      <c r="J9" s="2">
        <f>VLOOKUP($A9,[1]Burgiss_Return!$B:$P,MATCH(J$2,[1]Burgiss_Return!$B$5:$P$5,0),0)</f>
        <v>-1.2999999999999999E-2</v>
      </c>
      <c r="K9" s="2">
        <v>1.5350923561503027E-2</v>
      </c>
      <c r="L9" s="2"/>
      <c r="M9" s="2">
        <f>VLOOKUP($A9,[1]Burgiss_Return!$B:$P,MATCH(M$2,[1]Burgiss_Return!$B$5:$P$5,0),0)</f>
        <v>6.9999999999999999E-4</v>
      </c>
      <c r="N9" s="2"/>
      <c r="O9" s="2"/>
      <c r="P9" s="2"/>
      <c r="Q9" s="2">
        <v>6.0150236826524539E-2</v>
      </c>
      <c r="R9" s="2"/>
      <c r="S9" s="2"/>
      <c r="T9" s="2"/>
      <c r="U9" s="2"/>
      <c r="V9" s="2"/>
    </row>
    <row r="10" spans="1:22" x14ac:dyDescent="0.2">
      <c r="A10" s="3">
        <v>37164</v>
      </c>
      <c r="B10" s="2">
        <f>VLOOKUP($A10,[1]Burgiss_Return!$B:$P,MATCH(B$2,[1]Burgiss_Return!$B$5:$P$5,0),0)</f>
        <v>-8.09E-2</v>
      </c>
      <c r="C10" s="2">
        <f>VLOOKUP($A10,[1]Burgiss_Return!$B:$P,MATCH(C$2,[1]Burgiss_Return!$B$5:$P$5,0),0)</f>
        <v>-0.15049999999999999</v>
      </c>
      <c r="D10" s="2">
        <f>VLOOKUP($A10,[1]Burgiss_Return!$B:$P,MATCH(D$2,[1]Burgiss_Return!$B$5:$P$5,0),0)</f>
        <v>-0.15049999999999999</v>
      </c>
      <c r="E10" s="2"/>
      <c r="F10" s="2">
        <f>VLOOKUP($A10,[1]Burgiss_Return!$B:$P,MATCH(F$2,[1]Burgiss_Return!$B$5:$P$5,0),0)</f>
        <v>-5.45E-2</v>
      </c>
      <c r="G10" s="2"/>
      <c r="H10" s="2"/>
      <c r="I10" s="2">
        <f>VLOOKUP($A10,[1]Burgiss_Return!$B:$P,MATCH(I$2,[1]Burgiss_Return!$B$5:$P$5,0),0)</f>
        <v>1.49E-2</v>
      </c>
      <c r="J10" s="2">
        <f>VLOOKUP($A10,[1]Burgiss_Return!$B:$P,MATCH(J$2,[1]Burgiss_Return!$B$5:$P$5,0),0)</f>
        <v>-2.5399999999999999E-2</v>
      </c>
      <c r="K10" s="2">
        <v>-9.2173449949828345E-4</v>
      </c>
      <c r="L10" s="2"/>
      <c r="M10" s="2">
        <f>VLOOKUP($A10,[1]Burgiss_Return!$B:$P,MATCH(M$2,[1]Burgiss_Return!$B$5:$P$5,0),0)</f>
        <v>-6.1999999999999998E-3</v>
      </c>
      <c r="N10" s="2"/>
      <c r="O10" s="2"/>
      <c r="P10" s="2"/>
      <c r="Q10" s="2">
        <v>-9.8300144854186033E-2</v>
      </c>
      <c r="R10" s="2"/>
      <c r="S10" s="2"/>
      <c r="T10" s="2"/>
      <c r="U10" s="2"/>
      <c r="V10" s="2"/>
    </row>
    <row r="11" spans="1:22" x14ac:dyDescent="0.2">
      <c r="A11" s="3">
        <v>37256</v>
      </c>
      <c r="B11" s="2">
        <f>VLOOKUP($A11,[1]Burgiss_Return!$B:$P,MATCH(B$2,[1]Burgiss_Return!$B$5:$P$5,0),0)</f>
        <v>-1.1000000000000001E-3</v>
      </c>
      <c r="C11" s="2">
        <f>VLOOKUP($A11,[1]Burgiss_Return!$B:$P,MATCH(C$2,[1]Burgiss_Return!$B$5:$P$5,0),0)</f>
        <v>-7.7899999999999997E-2</v>
      </c>
      <c r="D11" s="2">
        <f>VLOOKUP($A11,[1]Burgiss_Return!$B:$P,MATCH(D$2,[1]Burgiss_Return!$B$5:$P$5,0),0)</f>
        <v>-7.7899999999999997E-2</v>
      </c>
      <c r="E11" s="2"/>
      <c r="F11" s="2">
        <f>VLOOKUP($A11,[1]Burgiss_Return!$B:$P,MATCH(F$2,[1]Burgiss_Return!$B$5:$P$5,0),0)</f>
        <v>-8.1199999999999994E-2</v>
      </c>
      <c r="G11" s="2"/>
      <c r="H11" s="2"/>
      <c r="I11" s="2">
        <f>VLOOKUP($A11,[1]Burgiss_Return!$B:$P,MATCH(I$2,[1]Burgiss_Return!$B$5:$P$5,0),0)</f>
        <v>2.1000000000000001E-2</v>
      </c>
      <c r="J11" s="2">
        <f>VLOOKUP($A11,[1]Burgiss_Return!$B:$P,MATCH(J$2,[1]Burgiss_Return!$B$5:$P$5,0),0)</f>
        <v>-6.3700000000000007E-2</v>
      </c>
      <c r="K11" s="2">
        <v>1.4464422393526855E-2</v>
      </c>
      <c r="L11" s="2"/>
      <c r="M11" s="2">
        <f>VLOOKUP($A11,[1]Burgiss_Return!$B:$P,MATCH(M$2,[1]Burgiss_Return!$B$5:$P$5,0),0)</f>
        <v>3.6700000000000003E-2</v>
      </c>
      <c r="N11" s="2"/>
      <c r="O11" s="2"/>
      <c r="P11" s="2"/>
      <c r="Q11" s="2">
        <v>5.9738902383556169E-2</v>
      </c>
      <c r="R11" s="2"/>
      <c r="S11" s="2"/>
      <c r="T11" s="2"/>
      <c r="U11" s="2"/>
      <c r="V11" s="2"/>
    </row>
    <row r="12" spans="1:22" x14ac:dyDescent="0.2">
      <c r="A12" s="3">
        <v>37346</v>
      </c>
      <c r="B12" s="2">
        <f>VLOOKUP($A12,[1]Burgiss_Return!$B:$P,MATCH(B$2,[1]Burgiss_Return!$B$5:$P$5,0),0)</f>
        <v>-2.3E-3</v>
      </c>
      <c r="C12" s="2">
        <f>VLOOKUP($A12,[1]Burgiss_Return!$B:$P,MATCH(C$2,[1]Burgiss_Return!$B$5:$P$5,0),0)</f>
        <v>-9.4799999999999995E-2</v>
      </c>
      <c r="D12" s="2">
        <f>VLOOKUP($A12,[1]Burgiss_Return!$B:$P,MATCH(D$2,[1]Burgiss_Return!$B$5:$P$5,0),0)</f>
        <v>-9.4799999999999995E-2</v>
      </c>
      <c r="E12" s="2">
        <f>VLOOKUP($A12,[1]Burgiss_Return!$B:$P,MATCH(E$2,[1]Burgiss_Return!$B$5:$P$5,0),0)</f>
        <v>3.27E-2</v>
      </c>
      <c r="F12" s="2">
        <f>VLOOKUP($A12,[1]Burgiss_Return!$B:$P,MATCH(F$2,[1]Burgiss_Return!$B$5:$P$5,0),0)</f>
        <v>-2.5000000000000001E-2</v>
      </c>
      <c r="G12" s="2">
        <f>VLOOKUP($A12,[1]Burgiss_Return!$B:$P,MATCH(G$2,[1]Burgiss_Return!$B$5:$P$5,0),0)</f>
        <v>3.27E-2</v>
      </c>
      <c r="H12" s="2"/>
      <c r="I12" s="2">
        <f>VLOOKUP($A12,[1]Burgiss_Return!$B:$P,MATCH(I$2,[1]Burgiss_Return!$B$5:$P$5,0),0)</f>
        <v>3.7699999999999997E-2</v>
      </c>
      <c r="J12" s="2">
        <f>VLOOKUP($A12,[1]Burgiss_Return!$B:$P,MATCH(J$2,[1]Burgiss_Return!$B$5:$P$5,0),0)</f>
        <v>1.41E-2</v>
      </c>
      <c r="K12" s="2">
        <v>1.3385806349913043E-2</v>
      </c>
      <c r="L12" s="2"/>
      <c r="M12" s="2">
        <f>VLOOKUP($A12,[1]Burgiss_Return!$B:$P,MATCH(M$2,[1]Burgiss_Return!$B$5:$P$5,0),0)</f>
        <v>1.43E-2</v>
      </c>
      <c r="N12" s="2"/>
      <c r="O12" s="2"/>
      <c r="P12" s="2"/>
      <c r="Q12" s="2">
        <v>5.3759611345497227E-2</v>
      </c>
      <c r="R12" s="2"/>
      <c r="S12" s="2"/>
      <c r="T12" s="2"/>
      <c r="U12" s="2"/>
      <c r="V12" s="2"/>
    </row>
    <row r="13" spans="1:22" x14ac:dyDescent="0.2">
      <c r="A13" s="3">
        <v>37437</v>
      </c>
      <c r="B13" s="2">
        <f>VLOOKUP($A13,[1]Burgiss_Return!$B:$P,MATCH(B$2,[1]Burgiss_Return!$B$5:$P$5,0),0)</f>
        <v>-1.35E-2</v>
      </c>
      <c r="C13" s="2">
        <f>VLOOKUP($A13,[1]Burgiss_Return!$B:$P,MATCH(C$2,[1]Burgiss_Return!$B$5:$P$5,0),0)</f>
        <v>-0.1303</v>
      </c>
      <c r="D13" s="2">
        <f>VLOOKUP($A13,[1]Burgiss_Return!$B:$P,MATCH(D$2,[1]Burgiss_Return!$B$5:$P$5,0),0)</f>
        <v>-0.1303</v>
      </c>
      <c r="E13" s="2">
        <f>VLOOKUP($A13,[1]Burgiss_Return!$B:$P,MATCH(E$2,[1]Burgiss_Return!$B$5:$P$5,0),0)</f>
        <v>1.7399999999999999E-2</v>
      </c>
      <c r="F13" s="2">
        <f>VLOOKUP($A13,[1]Burgiss_Return!$B:$P,MATCH(F$2,[1]Burgiss_Return!$B$5:$P$5,0),0)</f>
        <v>-7.1099999999999997E-2</v>
      </c>
      <c r="G13" s="2">
        <f>VLOOKUP($A13,[1]Burgiss_Return!$B:$P,MATCH(G$2,[1]Burgiss_Return!$B$5:$P$5,0),0)</f>
        <v>1.7399999999999999E-2</v>
      </c>
      <c r="H13" s="2"/>
      <c r="I13" s="2">
        <f>VLOOKUP($A13,[1]Burgiss_Return!$B:$P,MATCH(I$2,[1]Burgiss_Return!$B$5:$P$5,0),0)</f>
        <v>-1E-3</v>
      </c>
      <c r="J13" s="2">
        <f>VLOOKUP($A13,[1]Burgiss_Return!$B:$P,MATCH(J$2,[1]Burgiss_Return!$B$5:$P$5,0),0)</f>
        <v>-5.0500000000000003E-2</v>
      </c>
      <c r="K13" s="2">
        <v>6.5079411506625551E-3</v>
      </c>
      <c r="L13" s="2"/>
      <c r="M13" s="2">
        <f>VLOOKUP($A13,[1]Burgiss_Return!$B:$P,MATCH(M$2,[1]Burgiss_Return!$B$5:$P$5,0),0)</f>
        <v>-4.3E-3</v>
      </c>
      <c r="N13" s="2"/>
      <c r="O13" s="2"/>
      <c r="P13" s="2"/>
      <c r="Q13" s="2">
        <v>5.4388047801859685E-2</v>
      </c>
      <c r="R13" s="2"/>
      <c r="S13" s="2"/>
      <c r="T13" s="2"/>
      <c r="U13" s="2"/>
      <c r="V13" s="2"/>
    </row>
    <row r="14" spans="1:22" x14ac:dyDescent="0.2">
      <c r="A14" s="3">
        <v>37529</v>
      </c>
      <c r="B14" s="2">
        <f>VLOOKUP($A14,[1]Burgiss_Return!$B:$P,MATCH(B$2,[1]Burgiss_Return!$B$5:$P$5,0),0)</f>
        <v>-3.9800000000000002E-2</v>
      </c>
      <c r="C14" s="2">
        <f>VLOOKUP($A14,[1]Burgiss_Return!$B:$P,MATCH(C$2,[1]Burgiss_Return!$B$5:$P$5,0),0)</f>
        <v>-9.9099999999999994E-2</v>
      </c>
      <c r="D14" s="2">
        <f>VLOOKUP($A14,[1]Burgiss_Return!$B:$P,MATCH(D$2,[1]Burgiss_Return!$B$5:$P$5,0),0)</f>
        <v>-9.9099999999999994E-2</v>
      </c>
      <c r="E14" s="2">
        <f>VLOOKUP($A14,[1]Burgiss_Return!$B:$P,MATCH(E$2,[1]Burgiss_Return!$B$5:$P$5,0),0)</f>
        <v>-3.3399999999999999E-2</v>
      </c>
      <c r="F14" s="2">
        <f>VLOOKUP($A14,[1]Burgiss_Return!$B:$P,MATCH(F$2,[1]Burgiss_Return!$B$5:$P$5,0),0)</f>
        <v>-5.9299999999999999E-2</v>
      </c>
      <c r="G14" s="2">
        <f>VLOOKUP($A14,[1]Burgiss_Return!$B:$P,MATCH(G$2,[1]Burgiss_Return!$B$5:$P$5,0),0)</f>
        <v>-3.3399999999999999E-2</v>
      </c>
      <c r="H14" s="2"/>
      <c r="I14" s="2">
        <f>VLOOKUP($A14,[1]Burgiss_Return!$B:$P,MATCH(I$2,[1]Burgiss_Return!$B$5:$P$5,0),0)</f>
        <v>-5.1900000000000002E-2</v>
      </c>
      <c r="J14" s="2">
        <f>VLOOKUP($A14,[1]Burgiss_Return!$B:$P,MATCH(J$2,[1]Burgiss_Return!$B$5:$P$5,0),0)</f>
        <v>-9.2600000000000002E-2</v>
      </c>
      <c r="K14" s="2">
        <v>-6.2142280659346349E-3</v>
      </c>
      <c r="L14" s="2"/>
      <c r="M14" s="2">
        <f>VLOOKUP($A14,[1]Burgiss_Return!$B:$P,MATCH(M$2,[1]Burgiss_Return!$B$5:$P$5,0),0)</f>
        <v>3.8999999999999998E-3</v>
      </c>
      <c r="N14" s="2"/>
      <c r="O14" s="2"/>
      <c r="P14" s="2"/>
      <c r="Q14" s="2">
        <v>-0.10073231472273125</v>
      </c>
      <c r="R14" s="2"/>
      <c r="S14" s="2"/>
      <c r="T14" s="2"/>
      <c r="U14" s="2"/>
      <c r="V14" s="2"/>
    </row>
    <row r="15" spans="1:22" x14ac:dyDescent="0.2">
      <c r="A15" s="3">
        <v>37621</v>
      </c>
      <c r="B15" s="2">
        <f>VLOOKUP($A15,[1]Burgiss_Return!$B:$P,MATCH(B$2,[1]Burgiss_Return!$B$5:$P$5,0),0)</f>
        <v>2.0799999999999999E-2</v>
      </c>
      <c r="C15" s="2">
        <f>VLOOKUP($A15,[1]Burgiss_Return!$B:$P,MATCH(C$2,[1]Burgiss_Return!$B$5:$P$5,0),0)</f>
        <v>-0.1076</v>
      </c>
      <c r="D15" s="2">
        <f>VLOOKUP($A15,[1]Burgiss_Return!$B:$P,MATCH(D$2,[1]Burgiss_Return!$B$5:$P$5,0),0)</f>
        <v>-0.1076</v>
      </c>
      <c r="E15" s="2">
        <f>VLOOKUP($A15,[1]Burgiss_Return!$B:$P,MATCH(E$2,[1]Burgiss_Return!$B$5:$P$5,0),0)</f>
        <v>-3.3599999999999998E-2</v>
      </c>
      <c r="F15" s="2">
        <f>VLOOKUP($A15,[1]Burgiss_Return!$B:$P,MATCH(F$2,[1]Burgiss_Return!$B$5:$P$5,0),0)</f>
        <v>-7.6300000000000007E-2</v>
      </c>
      <c r="G15" s="2">
        <f>VLOOKUP($A15,[1]Burgiss_Return!$B:$P,MATCH(G$2,[1]Burgiss_Return!$B$5:$P$5,0),0)</f>
        <v>-3.3599999999999998E-2</v>
      </c>
      <c r="H15" s="2"/>
      <c r="I15" s="2">
        <f>VLOOKUP($A15,[1]Burgiss_Return!$B:$P,MATCH(I$2,[1]Burgiss_Return!$B$5:$P$5,0),0)</f>
        <v>7.4099999999999999E-2</v>
      </c>
      <c r="J15" s="2">
        <f>VLOOKUP($A15,[1]Burgiss_Return!$B:$P,MATCH(J$2,[1]Burgiss_Return!$B$5:$P$5,0),0)</f>
        <v>6.7000000000000002E-3</v>
      </c>
      <c r="K15" s="2">
        <v>2.1797079412001263E-2</v>
      </c>
      <c r="L15" s="2"/>
      <c r="M15" s="2">
        <f>VLOOKUP($A15,[1]Burgiss_Return!$B:$P,MATCH(M$2,[1]Burgiss_Return!$B$5:$P$5,0),0)</f>
        <v>-7.7000000000000002E-3</v>
      </c>
      <c r="N15" s="2"/>
      <c r="O15" s="2"/>
      <c r="P15" s="2"/>
      <c r="Q15" s="2">
        <v>2.9036768939705526E-2</v>
      </c>
      <c r="R15" s="2"/>
      <c r="S15" s="2"/>
      <c r="T15" s="2"/>
      <c r="U15" s="2"/>
      <c r="V15" s="2"/>
    </row>
    <row r="16" spans="1:22" x14ac:dyDescent="0.2">
      <c r="A16" s="3">
        <v>37711</v>
      </c>
      <c r="B16" s="2">
        <f>VLOOKUP($A16,[1]Burgiss_Return!$B:$P,MATCH(B$2,[1]Burgiss_Return!$B$5:$P$5,0),0)</f>
        <v>4.1999999999999997E-3</v>
      </c>
      <c r="C16" s="2">
        <f>VLOOKUP($A16,[1]Burgiss_Return!$B:$P,MATCH(C$2,[1]Burgiss_Return!$B$5:$P$5,0),0)</f>
        <v>-4.6800000000000001E-2</v>
      </c>
      <c r="D16" s="2">
        <f>VLOOKUP($A16,[1]Burgiss_Return!$B:$P,MATCH(D$2,[1]Burgiss_Return!$B$5:$P$5,0),0)</f>
        <v>-4.6800000000000001E-2</v>
      </c>
      <c r="E16" s="2">
        <f>VLOOKUP($A16,[1]Burgiss_Return!$B:$P,MATCH(E$2,[1]Burgiss_Return!$B$5:$P$5,0),0)</f>
        <v>-7.1999999999999998E-3</v>
      </c>
      <c r="F16" s="2">
        <f>VLOOKUP($A16,[1]Burgiss_Return!$B:$P,MATCH(F$2,[1]Burgiss_Return!$B$5:$P$5,0),0)</f>
        <v>-3.15E-2</v>
      </c>
      <c r="G16" s="2">
        <f>VLOOKUP($A16,[1]Burgiss_Return!$B:$P,MATCH(G$2,[1]Burgiss_Return!$B$5:$P$5,0),0)</f>
        <v>-7.1999999999999998E-3</v>
      </c>
      <c r="H16" s="2"/>
      <c r="I16" s="2">
        <f>VLOOKUP($A16,[1]Burgiss_Return!$B:$P,MATCH(I$2,[1]Burgiss_Return!$B$5:$P$5,0),0)</f>
        <v>1.5100000000000001E-2</v>
      </c>
      <c r="J16" s="2">
        <f>VLOOKUP($A16,[1]Burgiss_Return!$B:$P,MATCH(J$2,[1]Burgiss_Return!$B$5:$P$5,0),0)</f>
        <v>-4.4299999999999999E-2</v>
      </c>
      <c r="K16" s="2">
        <v>2.1230963352726562E-2</v>
      </c>
      <c r="L16" s="2"/>
      <c r="M16" s="2">
        <f>VLOOKUP($A16,[1]Burgiss_Return!$B:$P,MATCH(M$2,[1]Burgiss_Return!$B$5:$P$5,0),0)</f>
        <v>1.7399999999999999E-2</v>
      </c>
      <c r="N16" s="2"/>
      <c r="O16" s="2"/>
      <c r="P16" s="2"/>
      <c r="Q16" s="2">
        <v>-1.7310595967670261E-2</v>
      </c>
      <c r="R16" s="2"/>
      <c r="S16" s="2"/>
      <c r="T16" s="2"/>
      <c r="U16" s="2"/>
      <c r="V16" s="2"/>
    </row>
    <row r="17" spans="1:22" x14ac:dyDescent="0.2">
      <c r="A17" s="3">
        <v>37802</v>
      </c>
      <c r="B17" s="2">
        <f>VLOOKUP($A17,[1]Burgiss_Return!$B:$P,MATCH(B$2,[1]Burgiss_Return!$B$5:$P$5,0),0)</f>
        <v>7.22E-2</v>
      </c>
      <c r="C17" s="2">
        <f>VLOOKUP($A17,[1]Burgiss_Return!$B:$P,MATCH(C$2,[1]Burgiss_Return!$B$5:$P$5,0),0)</f>
        <v>-1.03E-2</v>
      </c>
      <c r="D17" s="2">
        <f>VLOOKUP($A17,[1]Burgiss_Return!$B:$P,MATCH(D$2,[1]Burgiss_Return!$B$5:$P$5,0),0)</f>
        <v>-1.03E-2</v>
      </c>
      <c r="E17" s="2">
        <f>VLOOKUP($A17,[1]Burgiss_Return!$B:$P,MATCH(E$2,[1]Burgiss_Return!$B$5:$P$5,0),0)</f>
        <v>2.2200000000000001E-2</v>
      </c>
      <c r="F17" s="2">
        <f>VLOOKUP($A17,[1]Burgiss_Return!$B:$P,MATCH(F$2,[1]Burgiss_Return!$B$5:$P$5,0),0)</f>
        <v>2.01E-2</v>
      </c>
      <c r="G17" s="2">
        <f>VLOOKUP($A17,[1]Burgiss_Return!$B:$P,MATCH(G$2,[1]Burgiss_Return!$B$5:$P$5,0),0)</f>
        <v>2.2200000000000001E-2</v>
      </c>
      <c r="H17" s="2"/>
      <c r="I17" s="2">
        <f>VLOOKUP($A17,[1]Burgiss_Return!$B:$P,MATCH(I$2,[1]Burgiss_Return!$B$5:$P$5,0),0)</f>
        <v>0.1353</v>
      </c>
      <c r="J17" s="2">
        <f>VLOOKUP($A17,[1]Burgiss_Return!$B:$P,MATCH(J$2,[1]Burgiss_Return!$B$5:$P$5,0),0)</f>
        <v>6.2300000000000001E-2</v>
      </c>
      <c r="K17" s="2">
        <v>2.8255805622118935E-2</v>
      </c>
      <c r="L17" s="2"/>
      <c r="M17" s="2">
        <f>VLOOKUP($A17,[1]Burgiss_Return!$B:$P,MATCH(M$2,[1]Burgiss_Return!$B$5:$P$5,0),0)</f>
        <v>1.34E-2</v>
      </c>
      <c r="N17" s="2"/>
      <c r="O17" s="2"/>
      <c r="P17" s="2"/>
      <c r="Q17" s="2">
        <v>0.14436782024746697</v>
      </c>
      <c r="R17" s="2"/>
      <c r="S17" s="2"/>
      <c r="T17" s="2"/>
      <c r="U17" s="2"/>
      <c r="V17" s="2"/>
    </row>
    <row r="18" spans="1:22" x14ac:dyDescent="0.2">
      <c r="A18" s="3">
        <v>37894</v>
      </c>
      <c r="B18" s="2">
        <f>VLOOKUP($A18,[1]Burgiss_Return!$B:$P,MATCH(B$2,[1]Burgiss_Return!$B$5:$P$5,0),0)</f>
        <v>4.3400000000000001E-2</v>
      </c>
      <c r="C18" s="2">
        <f>VLOOKUP($A18,[1]Burgiss_Return!$B:$P,MATCH(C$2,[1]Burgiss_Return!$B$5:$P$5,0),0)</f>
        <v>-3.0499999999999999E-2</v>
      </c>
      <c r="D18" s="2">
        <f>VLOOKUP($A18,[1]Burgiss_Return!$B:$P,MATCH(D$2,[1]Burgiss_Return!$B$5:$P$5,0),0)</f>
        <v>-3.0499999999999999E-2</v>
      </c>
      <c r="E18" s="2">
        <f>VLOOKUP($A18,[1]Burgiss_Return!$B:$P,MATCH(E$2,[1]Burgiss_Return!$B$5:$P$5,0),0)</f>
        <v>3.9800000000000002E-2</v>
      </c>
      <c r="F18" s="2">
        <f>VLOOKUP($A18,[1]Burgiss_Return!$B:$P,MATCH(F$2,[1]Burgiss_Return!$B$5:$P$5,0),0)</f>
        <v>2.7000000000000001E-3</v>
      </c>
      <c r="G18" s="2">
        <f>VLOOKUP($A18,[1]Burgiss_Return!$B:$P,MATCH(G$2,[1]Burgiss_Return!$B$5:$P$5,0),0)</f>
        <v>3.9800000000000002E-2</v>
      </c>
      <c r="H18" s="2"/>
      <c r="I18" s="2">
        <f>VLOOKUP($A18,[1]Burgiss_Return!$B:$P,MATCH(I$2,[1]Burgiss_Return!$B$5:$P$5,0),0)</f>
        <v>5.8799999999999998E-2</v>
      </c>
      <c r="J18" s="2">
        <f>VLOOKUP($A18,[1]Burgiss_Return!$B:$P,MATCH(J$2,[1]Burgiss_Return!$B$5:$P$5,0),0)</f>
        <v>0.10349999999999999</v>
      </c>
      <c r="K18" s="2">
        <v>1.1475977437019225E-2</v>
      </c>
      <c r="L18" s="2"/>
      <c r="M18" s="2">
        <f>VLOOKUP($A18,[1]Burgiss_Return!$B:$P,MATCH(M$2,[1]Burgiss_Return!$B$5:$P$5,0),0)</f>
        <v>1.6500000000000001E-2</v>
      </c>
      <c r="N18" s="2"/>
      <c r="O18" s="2"/>
      <c r="P18" s="2"/>
      <c r="Q18" s="2">
        <v>0.11854139352678206</v>
      </c>
      <c r="R18" s="2"/>
      <c r="S18" s="2"/>
      <c r="T18" s="2"/>
      <c r="U18" s="2"/>
      <c r="V18" s="2"/>
    </row>
    <row r="19" spans="1:22" x14ac:dyDescent="0.2">
      <c r="A19" s="3">
        <v>37986</v>
      </c>
      <c r="B19" s="2">
        <f>VLOOKUP($A19,[1]Burgiss_Return!$B:$P,MATCH(B$2,[1]Burgiss_Return!$B$5:$P$5,0),0)</f>
        <v>0.126</v>
      </c>
      <c r="C19" s="2">
        <f>VLOOKUP($A19,[1]Burgiss_Return!$B:$P,MATCH(C$2,[1]Burgiss_Return!$B$5:$P$5,0),0)</f>
        <v>1.67E-2</v>
      </c>
      <c r="D19" s="2">
        <f>VLOOKUP($A19,[1]Burgiss_Return!$B:$P,MATCH(D$2,[1]Burgiss_Return!$B$5:$P$5,0),0)</f>
        <v>1.67E-2</v>
      </c>
      <c r="E19" s="2">
        <f>VLOOKUP($A19,[1]Burgiss_Return!$B:$P,MATCH(E$2,[1]Burgiss_Return!$B$5:$P$5,0),0)</f>
        <v>0.1883</v>
      </c>
      <c r="F19" s="2">
        <f>VLOOKUP($A19,[1]Burgiss_Return!$B:$P,MATCH(F$2,[1]Burgiss_Return!$B$5:$P$5,0),0)</f>
        <v>8.2600000000000007E-2</v>
      </c>
      <c r="G19" s="2">
        <f>VLOOKUP($A19,[1]Burgiss_Return!$B:$P,MATCH(G$2,[1]Burgiss_Return!$B$5:$P$5,0),0)</f>
        <v>0.1883</v>
      </c>
      <c r="H19" s="2"/>
      <c r="I19" s="2">
        <f>VLOOKUP($A19,[1]Burgiss_Return!$B:$P,MATCH(I$2,[1]Burgiss_Return!$B$5:$P$5,0),0)</f>
        <v>7.5499999999999998E-2</v>
      </c>
      <c r="J19" s="2">
        <f>VLOOKUP($A19,[1]Burgiss_Return!$B:$P,MATCH(J$2,[1]Burgiss_Return!$B$5:$P$5,0),0)</f>
        <v>0.15210000000000001</v>
      </c>
      <c r="K19" s="2">
        <v>2.6332629325469092E-2</v>
      </c>
      <c r="L19" s="2"/>
      <c r="M19" s="2">
        <f>VLOOKUP($A19,[1]Burgiss_Return!$B:$P,MATCH(M$2,[1]Burgiss_Return!$B$5:$P$5,0),0)</f>
        <v>5.7000000000000002E-2</v>
      </c>
      <c r="N19" s="2"/>
      <c r="O19" s="2"/>
      <c r="P19" s="2"/>
      <c r="Q19" s="2">
        <v>0.11851888464444338</v>
      </c>
      <c r="R19" s="2"/>
      <c r="S19" s="2"/>
      <c r="T19" s="2"/>
      <c r="U19" s="2"/>
      <c r="V19" s="2"/>
    </row>
    <row r="20" spans="1:22" x14ac:dyDescent="0.2">
      <c r="A20" s="3">
        <v>38077</v>
      </c>
      <c r="B20" s="2">
        <f>VLOOKUP($A20,[1]Burgiss_Return!$B:$P,MATCH(B$2,[1]Burgiss_Return!$B$5:$P$5,0),0)</f>
        <v>1.5900000000000001E-2</v>
      </c>
      <c r="C20" s="2">
        <f>VLOOKUP($A20,[1]Burgiss_Return!$B:$P,MATCH(C$2,[1]Burgiss_Return!$B$5:$P$5,0),0)</f>
        <v>1.52E-2</v>
      </c>
      <c r="D20" s="2">
        <f>VLOOKUP($A20,[1]Burgiss_Return!$B:$P,MATCH(D$2,[1]Burgiss_Return!$B$5:$P$5,0),0)</f>
        <v>1.52E-2</v>
      </c>
      <c r="E20" s="2">
        <f>VLOOKUP($A20,[1]Burgiss_Return!$B:$P,MATCH(E$2,[1]Burgiss_Return!$B$5:$P$5,0),0)</f>
        <v>3.6200000000000003E-2</v>
      </c>
      <c r="F20" s="2">
        <f>VLOOKUP($A20,[1]Burgiss_Return!$B:$P,MATCH(F$2,[1]Burgiss_Return!$B$5:$P$5,0),0)</f>
        <v>-1.21E-2</v>
      </c>
      <c r="G20" s="2">
        <f>VLOOKUP($A20,[1]Burgiss_Return!$B:$P,MATCH(G$2,[1]Burgiss_Return!$B$5:$P$5,0),0)</f>
        <v>3.6200000000000003E-2</v>
      </c>
      <c r="H20" s="2"/>
      <c r="I20" s="2">
        <f>VLOOKUP($A20,[1]Burgiss_Return!$B:$P,MATCH(I$2,[1]Burgiss_Return!$B$5:$P$5,0),0)</f>
        <v>3.5099999999999999E-2</v>
      </c>
      <c r="J20" s="2">
        <f>VLOOKUP($A20,[1]Burgiss_Return!$B:$P,MATCH(J$2,[1]Burgiss_Return!$B$5:$P$5,0),0)</f>
        <v>0.13769999999999999</v>
      </c>
      <c r="K20" s="2">
        <v>2.3805915515983322E-2</v>
      </c>
      <c r="L20" s="2"/>
      <c r="M20" s="2">
        <f>VLOOKUP($A20,[1]Burgiss_Return!$B:$P,MATCH(M$2,[1]Burgiss_Return!$B$5:$P$5,0),0)</f>
        <v>1.84E-2</v>
      </c>
      <c r="N20" s="2"/>
      <c r="O20" s="2"/>
      <c r="P20" s="2"/>
      <c r="Q20" s="2">
        <v>0.13489848997525389</v>
      </c>
      <c r="R20" s="2"/>
      <c r="S20" s="2"/>
      <c r="T20" s="2"/>
      <c r="U20" s="2"/>
      <c r="V20" s="2"/>
    </row>
    <row r="21" spans="1:22" x14ac:dyDescent="0.2">
      <c r="A21" s="3">
        <v>38168</v>
      </c>
      <c r="B21" s="2">
        <f>VLOOKUP($A21,[1]Burgiss_Return!$B:$P,MATCH(B$2,[1]Burgiss_Return!$B$5:$P$5,0),0)</f>
        <v>5.1900000000000002E-2</v>
      </c>
      <c r="C21" s="2">
        <f>VLOOKUP($A21,[1]Burgiss_Return!$B:$P,MATCH(C$2,[1]Burgiss_Return!$B$5:$P$5,0),0)</f>
        <v>3.0000000000000001E-3</v>
      </c>
      <c r="D21" s="2">
        <f>VLOOKUP($A21,[1]Burgiss_Return!$B:$P,MATCH(D$2,[1]Burgiss_Return!$B$5:$P$5,0),0)</f>
        <v>3.0000000000000001E-3</v>
      </c>
      <c r="E21" s="2">
        <f>VLOOKUP($A21,[1]Burgiss_Return!$B:$P,MATCH(E$2,[1]Burgiss_Return!$B$5:$P$5,0),0)</f>
        <v>4.8300000000000003E-2</v>
      </c>
      <c r="F21" s="2">
        <f>VLOOKUP($A21,[1]Burgiss_Return!$B:$P,MATCH(F$2,[1]Burgiss_Return!$B$5:$P$5,0),0)</f>
        <v>2.4500000000000001E-2</v>
      </c>
      <c r="G21" s="2">
        <f>VLOOKUP($A21,[1]Burgiss_Return!$B:$P,MATCH(G$2,[1]Burgiss_Return!$B$5:$P$5,0),0)</f>
        <v>4.8300000000000003E-2</v>
      </c>
      <c r="H21" s="2"/>
      <c r="I21" s="2">
        <f>VLOOKUP($A21,[1]Burgiss_Return!$B:$P,MATCH(I$2,[1]Burgiss_Return!$B$5:$P$5,0),0)</f>
        <v>3.1300000000000001E-2</v>
      </c>
      <c r="J21" s="2">
        <f>VLOOKUP($A21,[1]Burgiss_Return!$B:$P,MATCH(J$2,[1]Burgiss_Return!$B$5:$P$5,0),0)</f>
        <v>2.6499999999999999E-2</v>
      </c>
      <c r="K21" s="2">
        <v>-6.5285202069428339E-3</v>
      </c>
      <c r="L21" s="2"/>
      <c r="M21" s="2">
        <f>VLOOKUP($A21,[1]Burgiss_Return!$B:$P,MATCH(M$2,[1]Burgiss_Return!$B$5:$P$5,0),0)</f>
        <v>2.9600000000000001E-2</v>
      </c>
      <c r="N21" s="2"/>
      <c r="O21" s="2"/>
      <c r="P21" s="2"/>
      <c r="Q21" s="2">
        <v>-4.1273355323539707E-2</v>
      </c>
      <c r="R21" s="2"/>
      <c r="S21" s="2"/>
      <c r="T21" s="2"/>
      <c r="U21" s="2"/>
      <c r="V21" s="2"/>
    </row>
    <row r="22" spans="1:22" x14ac:dyDescent="0.2">
      <c r="A22" s="3">
        <v>38260</v>
      </c>
      <c r="B22" s="2">
        <f>VLOOKUP($A22,[1]Burgiss_Return!$B:$P,MATCH(B$2,[1]Burgiss_Return!$B$5:$P$5,0),0)</f>
        <v>2.3699999999999999E-2</v>
      </c>
      <c r="C22" s="2">
        <f>VLOOKUP($A22,[1]Burgiss_Return!$B:$P,MATCH(C$2,[1]Burgiss_Return!$B$5:$P$5,0),0)</f>
        <v>6.5299999999999997E-2</v>
      </c>
      <c r="D22" s="2">
        <f>VLOOKUP($A22,[1]Burgiss_Return!$B:$P,MATCH(D$2,[1]Burgiss_Return!$B$5:$P$5,0),0)</f>
        <v>6.5299999999999997E-2</v>
      </c>
      <c r="E22" s="2">
        <f>VLOOKUP($A22,[1]Burgiss_Return!$B:$P,MATCH(E$2,[1]Burgiss_Return!$B$5:$P$5,0),0)</f>
        <v>4.7399999999999998E-2</v>
      </c>
      <c r="F22" s="2">
        <f>VLOOKUP($A22,[1]Burgiss_Return!$B:$P,MATCH(F$2,[1]Burgiss_Return!$B$5:$P$5,0),0)</f>
        <v>2.4199999999999999E-2</v>
      </c>
      <c r="G22" s="2">
        <f>VLOOKUP($A22,[1]Burgiss_Return!$B:$P,MATCH(G$2,[1]Burgiss_Return!$B$5:$P$5,0),0)</f>
        <v>4.7399999999999998E-2</v>
      </c>
      <c r="H22" s="2"/>
      <c r="I22" s="2">
        <f>VLOOKUP($A22,[1]Burgiss_Return!$B:$P,MATCH(I$2,[1]Burgiss_Return!$B$5:$P$5,0),0)</f>
        <v>4.5199999999999997E-2</v>
      </c>
      <c r="J22" s="2">
        <f>VLOOKUP($A22,[1]Burgiss_Return!$B:$P,MATCH(J$2,[1]Burgiss_Return!$B$5:$P$5,0),0)</f>
        <v>3.7699999999999997E-2</v>
      </c>
      <c r="K22" s="2">
        <v>4.7303678588399567E-3</v>
      </c>
      <c r="L22" s="2"/>
      <c r="M22" s="2">
        <f>VLOOKUP($A22,[1]Burgiss_Return!$B:$P,MATCH(M$2,[1]Burgiss_Return!$B$5:$P$5,0),0)</f>
        <v>3.8E-3</v>
      </c>
      <c r="N22" s="2"/>
      <c r="O22" s="2"/>
      <c r="P22" s="2"/>
      <c r="Q22" s="2">
        <v>7.5743950057148846E-2</v>
      </c>
      <c r="R22" s="2"/>
      <c r="S22" s="2"/>
      <c r="T22" s="2"/>
      <c r="U22" s="2"/>
      <c r="V22" s="2"/>
    </row>
    <row r="23" spans="1:22" x14ac:dyDescent="0.2">
      <c r="A23" s="3">
        <v>38352</v>
      </c>
      <c r="B23" s="2">
        <f>VLOOKUP($A23,[1]Burgiss_Return!$B:$P,MATCH(B$2,[1]Burgiss_Return!$B$5:$P$5,0),0)</f>
        <v>0.15429999999999999</v>
      </c>
      <c r="C23" s="2">
        <f>VLOOKUP($A23,[1]Burgiss_Return!$B:$P,MATCH(C$2,[1]Burgiss_Return!$B$5:$P$5,0),0)</f>
        <v>5.9700000000000003E-2</v>
      </c>
      <c r="D23" s="2">
        <f>VLOOKUP($A23,[1]Burgiss_Return!$B:$P,MATCH(D$2,[1]Burgiss_Return!$B$5:$P$5,0),0)</f>
        <v>5.9700000000000003E-2</v>
      </c>
      <c r="E23" s="2">
        <f>VLOOKUP($A23,[1]Burgiss_Return!$B:$P,MATCH(E$2,[1]Burgiss_Return!$B$5:$P$5,0),0)</f>
        <v>0.15060000000000001</v>
      </c>
      <c r="F23" s="2">
        <f>VLOOKUP($A23,[1]Burgiss_Return!$B:$P,MATCH(F$2,[1]Burgiss_Return!$B$5:$P$5,0),0)</f>
        <v>9.5899999999999999E-2</v>
      </c>
      <c r="G23" s="2">
        <f>VLOOKUP($A23,[1]Burgiss_Return!$B:$P,MATCH(G$2,[1]Burgiss_Return!$B$5:$P$5,0),0)</f>
        <v>0.15060000000000001</v>
      </c>
      <c r="H23" s="2"/>
      <c r="I23" s="2">
        <f>VLOOKUP($A23,[1]Burgiss_Return!$B:$P,MATCH(I$2,[1]Burgiss_Return!$B$5:$P$5,0),0)</f>
        <v>0.10100000000000001</v>
      </c>
      <c r="J23" s="2">
        <f>VLOOKUP($A23,[1]Burgiss_Return!$B:$P,MATCH(J$2,[1]Burgiss_Return!$B$5:$P$5,0),0)</f>
        <v>0.12189999999999999</v>
      </c>
      <c r="K23" s="2">
        <v>3.5564989134712066E-2</v>
      </c>
      <c r="L23" s="2"/>
      <c r="M23" s="2">
        <f>VLOOKUP($A23,[1]Burgiss_Return!$B:$P,MATCH(M$2,[1]Burgiss_Return!$B$5:$P$5,0),0)</f>
        <v>0.17019999999999999</v>
      </c>
      <c r="N23" s="2"/>
      <c r="O23" s="2"/>
      <c r="P23" s="2"/>
      <c r="Q23" s="2">
        <v>0.17869932906176511</v>
      </c>
      <c r="R23" s="2"/>
      <c r="S23" s="2"/>
      <c r="T23" s="2"/>
      <c r="U23" s="2"/>
      <c r="V23" s="2"/>
    </row>
    <row r="24" spans="1:22" x14ac:dyDescent="0.2">
      <c r="A24" s="3">
        <v>38442</v>
      </c>
      <c r="B24" s="2">
        <f>VLOOKUP($A24,[1]Burgiss_Return!$B:$P,MATCH(B$2,[1]Burgiss_Return!$B$5:$P$5,0),0)</f>
        <v>8.3000000000000001E-3</v>
      </c>
      <c r="C24" s="2">
        <f>VLOOKUP($A24,[1]Burgiss_Return!$B:$P,MATCH(C$2,[1]Burgiss_Return!$B$5:$P$5,0),0)</f>
        <v>-4.7999999999999996E-3</v>
      </c>
      <c r="D24" s="2">
        <f>VLOOKUP($A24,[1]Burgiss_Return!$B:$P,MATCH(D$2,[1]Burgiss_Return!$B$5:$P$5,0),0)</f>
        <v>-4.7999999999999996E-3</v>
      </c>
      <c r="E24" s="2">
        <f>VLOOKUP($A24,[1]Burgiss_Return!$B:$P,MATCH(E$2,[1]Burgiss_Return!$B$5:$P$5,0),0)</f>
        <v>6.3E-3</v>
      </c>
      <c r="F24" s="2">
        <f>VLOOKUP($A24,[1]Burgiss_Return!$B:$P,MATCH(F$2,[1]Burgiss_Return!$B$5:$P$5,0),0)</f>
        <v>-8.6E-3</v>
      </c>
      <c r="G24" s="2">
        <f>VLOOKUP($A24,[1]Burgiss_Return!$B:$P,MATCH(G$2,[1]Burgiss_Return!$B$5:$P$5,0),0)</f>
        <v>6.3E-3</v>
      </c>
      <c r="H24" s="2"/>
      <c r="I24" s="2">
        <f>VLOOKUP($A24,[1]Burgiss_Return!$B:$P,MATCH(I$2,[1]Burgiss_Return!$B$5:$P$5,0),0)</f>
        <v>2.6100000000000002E-2</v>
      </c>
      <c r="J24" s="2">
        <f>VLOOKUP($A24,[1]Burgiss_Return!$B:$P,MATCH(J$2,[1]Burgiss_Return!$B$5:$P$5,0),0)</f>
        <v>3.8699999999999998E-2</v>
      </c>
      <c r="K24" s="2">
        <v>9.187524789149526E-3</v>
      </c>
      <c r="L24" s="2"/>
      <c r="M24" s="2">
        <f>VLOOKUP($A24,[1]Burgiss_Return!$B:$P,MATCH(M$2,[1]Burgiss_Return!$B$5:$P$5,0),0)</f>
        <v>2.8299999999999999E-2</v>
      </c>
      <c r="N24" s="2"/>
      <c r="O24" s="2"/>
      <c r="P24" s="2"/>
      <c r="Q24" s="2">
        <v>-4.9207257086641198E-2</v>
      </c>
      <c r="R24" s="2"/>
      <c r="S24" s="2"/>
      <c r="T24" s="2"/>
      <c r="U24" s="2"/>
      <c r="V24" s="2"/>
    </row>
    <row r="25" spans="1:22" x14ac:dyDescent="0.2">
      <c r="A25" s="3">
        <v>38533</v>
      </c>
      <c r="B25" s="2">
        <f>VLOOKUP($A25,[1]Burgiss_Return!$B:$P,MATCH(B$2,[1]Burgiss_Return!$B$5:$P$5,0),0)</f>
        <v>8.8400000000000006E-2</v>
      </c>
      <c r="C25" s="2">
        <f>VLOOKUP($A25,[1]Burgiss_Return!$B:$P,MATCH(C$2,[1]Burgiss_Return!$B$5:$P$5,0),0)</f>
        <v>2.5999999999999999E-2</v>
      </c>
      <c r="D25" s="2">
        <f>VLOOKUP($A25,[1]Burgiss_Return!$B:$P,MATCH(D$2,[1]Burgiss_Return!$B$5:$P$5,0),0)</f>
        <v>2.5999999999999999E-2</v>
      </c>
      <c r="E25" s="2">
        <f>VLOOKUP($A25,[1]Burgiss_Return!$B:$P,MATCH(E$2,[1]Burgiss_Return!$B$5:$P$5,0),0)</f>
        <v>5.9299999999999999E-2</v>
      </c>
      <c r="F25" s="2">
        <f>VLOOKUP($A25,[1]Burgiss_Return!$B:$P,MATCH(F$2,[1]Burgiss_Return!$B$5:$P$5,0),0)</f>
        <v>1.06E-2</v>
      </c>
      <c r="G25" s="2">
        <f>VLOOKUP($A25,[1]Burgiss_Return!$B:$P,MATCH(G$2,[1]Burgiss_Return!$B$5:$P$5,0),0)</f>
        <v>5.9299999999999999E-2</v>
      </c>
      <c r="H25" s="2"/>
      <c r="I25" s="2">
        <f>VLOOKUP($A25,[1]Burgiss_Return!$B:$P,MATCH(I$2,[1]Burgiss_Return!$B$5:$P$5,0),0)</f>
        <v>8.2000000000000007E-3</v>
      </c>
      <c r="J25" s="2">
        <f>VLOOKUP($A25,[1]Burgiss_Return!$B:$P,MATCH(J$2,[1]Burgiss_Return!$B$5:$P$5,0),0)</f>
        <v>-1.3299999999999999E-2</v>
      </c>
      <c r="K25" s="2">
        <v>-3.1254093912002068E-3</v>
      </c>
      <c r="L25" s="2"/>
      <c r="M25" s="2">
        <f>VLOOKUP($A25,[1]Burgiss_Return!$B:$P,MATCH(M$2,[1]Burgiss_Return!$B$5:$P$5,0),0)</f>
        <v>6.1699999999999998E-2</v>
      </c>
      <c r="N25" s="2"/>
      <c r="O25" s="2"/>
      <c r="P25" s="2"/>
      <c r="Q25" s="2">
        <v>9.286735229148535E-2</v>
      </c>
      <c r="R25" s="2"/>
      <c r="S25" s="2"/>
      <c r="T25" s="2"/>
      <c r="U25" s="2"/>
      <c r="V25" s="2"/>
    </row>
    <row r="26" spans="1:22" x14ac:dyDescent="0.2">
      <c r="A26" s="3">
        <v>38625</v>
      </c>
      <c r="B26" s="2">
        <f>VLOOKUP($A26,[1]Burgiss_Return!$B:$P,MATCH(B$2,[1]Burgiss_Return!$B$5:$P$5,0),0)</f>
        <v>6.1699999999999998E-2</v>
      </c>
      <c r="C26" s="2">
        <f>VLOOKUP($A26,[1]Burgiss_Return!$B:$P,MATCH(C$2,[1]Burgiss_Return!$B$5:$P$5,0),0)</f>
        <v>4.3099999999999999E-2</v>
      </c>
      <c r="D26" s="2">
        <f>VLOOKUP($A26,[1]Burgiss_Return!$B:$P,MATCH(D$2,[1]Burgiss_Return!$B$5:$P$5,0),0)</f>
        <v>4.3099999999999999E-2</v>
      </c>
      <c r="E26" s="2">
        <f>VLOOKUP($A26,[1]Burgiss_Return!$B:$P,MATCH(E$2,[1]Burgiss_Return!$B$5:$P$5,0),0)</f>
        <v>7.1499999999999994E-2</v>
      </c>
      <c r="F26" s="2">
        <f>VLOOKUP($A26,[1]Burgiss_Return!$B:$P,MATCH(F$2,[1]Burgiss_Return!$B$5:$P$5,0),0)</f>
        <v>4.3700000000000003E-2</v>
      </c>
      <c r="G26" s="2">
        <f>VLOOKUP($A26,[1]Burgiss_Return!$B:$P,MATCH(G$2,[1]Burgiss_Return!$B$5:$P$5,0),0)</f>
        <v>7.1499999999999994E-2</v>
      </c>
      <c r="H26" s="2"/>
      <c r="I26" s="2">
        <f>VLOOKUP($A26,[1]Burgiss_Return!$B:$P,MATCH(I$2,[1]Burgiss_Return!$B$5:$P$5,0),0)</f>
        <v>5.4100000000000002E-2</v>
      </c>
      <c r="J26" s="2">
        <f>VLOOKUP($A26,[1]Burgiss_Return!$B:$P,MATCH(J$2,[1]Burgiss_Return!$B$5:$P$5,0),0)</f>
        <v>1.0699999999999999E-2</v>
      </c>
      <c r="K26" s="2">
        <v>2.9979920545210703E-2</v>
      </c>
      <c r="L26" s="2"/>
      <c r="M26" s="2">
        <f>VLOOKUP($A26,[1]Burgiss_Return!$B:$P,MATCH(M$2,[1]Burgiss_Return!$B$5:$P$5,0),0)</f>
        <v>5.8099999999999999E-2</v>
      </c>
      <c r="N26" s="2"/>
      <c r="O26" s="2"/>
      <c r="P26" s="2"/>
      <c r="Q26" s="2">
        <v>6.0760586204466893E-2</v>
      </c>
      <c r="R26" s="2"/>
      <c r="S26" s="2"/>
      <c r="T26" s="2"/>
      <c r="U26" s="2"/>
      <c r="V26" s="2"/>
    </row>
    <row r="27" spans="1:22" x14ac:dyDescent="0.2">
      <c r="A27" s="3">
        <v>38717</v>
      </c>
      <c r="B27" s="2">
        <f>VLOOKUP($A27,[1]Burgiss_Return!$B:$P,MATCH(B$2,[1]Burgiss_Return!$B$5:$P$5,0),0)</f>
        <v>8.4199999999999997E-2</v>
      </c>
      <c r="C27" s="2">
        <f>VLOOKUP($A27,[1]Burgiss_Return!$B:$P,MATCH(C$2,[1]Burgiss_Return!$B$5:$P$5,0),0)</f>
        <v>1.8800000000000001E-2</v>
      </c>
      <c r="D27" s="2">
        <f>VLOOKUP($A27,[1]Burgiss_Return!$B:$P,MATCH(D$2,[1]Burgiss_Return!$B$5:$P$5,0),0)</f>
        <v>1.8800000000000001E-2</v>
      </c>
      <c r="E27" s="2">
        <f>VLOOKUP($A27,[1]Burgiss_Return!$B:$P,MATCH(E$2,[1]Burgiss_Return!$B$5:$P$5,0),0)</f>
        <v>0.1326</v>
      </c>
      <c r="F27" s="2">
        <f>VLOOKUP($A27,[1]Burgiss_Return!$B:$P,MATCH(F$2,[1]Burgiss_Return!$B$5:$P$5,0),0)</f>
        <v>8.7300000000000003E-2</v>
      </c>
      <c r="G27" s="2">
        <f>VLOOKUP($A27,[1]Burgiss_Return!$B:$P,MATCH(G$2,[1]Burgiss_Return!$B$5:$P$5,0),0)</f>
        <v>0.1326</v>
      </c>
      <c r="H27" s="2"/>
      <c r="I27" s="2">
        <f>VLOOKUP($A27,[1]Burgiss_Return!$B:$P,MATCH(I$2,[1]Burgiss_Return!$B$5:$P$5,0),0)</f>
        <v>1.55E-2</v>
      </c>
      <c r="J27" s="2">
        <f>VLOOKUP($A27,[1]Burgiss_Return!$B:$P,MATCH(J$2,[1]Burgiss_Return!$B$5:$P$5,0),0)</f>
        <v>0.1157</v>
      </c>
      <c r="K27" s="2">
        <v>1.4550786696283735E-2</v>
      </c>
      <c r="L27" s="2"/>
      <c r="M27" s="2">
        <f>VLOOKUP($A27,[1]Burgiss_Return!$B:$P,MATCH(M$2,[1]Burgiss_Return!$B$5:$P$5,0),0)</f>
        <v>0.11700000000000001</v>
      </c>
      <c r="N27" s="2"/>
      <c r="O27" s="2"/>
      <c r="P27" s="2"/>
      <c r="Q27" s="2">
        <v>4.6536535954766922E-2</v>
      </c>
      <c r="R27" s="2"/>
      <c r="S27" s="2"/>
      <c r="T27" s="2"/>
      <c r="U27" s="2"/>
      <c r="V27" s="2"/>
    </row>
    <row r="28" spans="1:22" x14ac:dyDescent="0.2">
      <c r="A28" s="3">
        <v>38807</v>
      </c>
      <c r="B28" s="2">
        <f>VLOOKUP($A28,[1]Burgiss_Return!$B:$P,MATCH(B$2,[1]Burgiss_Return!$B$5:$P$5,0),0)</f>
        <v>5.21E-2</v>
      </c>
      <c r="C28" s="2">
        <f>VLOOKUP($A28,[1]Burgiss_Return!$B:$P,MATCH(C$2,[1]Burgiss_Return!$B$5:$P$5,0),0)</f>
        <v>4.2999999999999997E-2</v>
      </c>
      <c r="D28" s="2">
        <f>VLOOKUP($A28,[1]Burgiss_Return!$B:$P,MATCH(D$2,[1]Burgiss_Return!$B$5:$P$5,0),0)</f>
        <v>4.2999999999999997E-2</v>
      </c>
      <c r="E28" s="2">
        <f>VLOOKUP($A28,[1]Burgiss_Return!$B:$P,MATCH(E$2,[1]Burgiss_Return!$B$5:$P$5,0),0)</f>
        <v>2.01E-2</v>
      </c>
      <c r="F28" s="2">
        <f>VLOOKUP($A28,[1]Burgiss_Return!$B:$P,MATCH(F$2,[1]Burgiss_Return!$B$5:$P$5,0),0)</f>
        <v>3.0700000000000002E-2</v>
      </c>
      <c r="G28" s="2">
        <f>VLOOKUP($A28,[1]Burgiss_Return!$B:$P,MATCH(G$2,[1]Burgiss_Return!$B$5:$P$5,0),0)</f>
        <v>2.01E-2</v>
      </c>
      <c r="H28" s="2"/>
      <c r="I28" s="2">
        <f>VLOOKUP($A28,[1]Burgiss_Return!$B:$P,MATCH(I$2,[1]Burgiss_Return!$B$5:$P$5,0),0)</f>
        <v>5.4100000000000002E-2</v>
      </c>
      <c r="J28" s="2">
        <f>VLOOKUP($A28,[1]Burgiss_Return!$B:$P,MATCH(J$2,[1]Burgiss_Return!$B$5:$P$5,0),0)</f>
        <v>2.5100000000000001E-2</v>
      </c>
      <c r="K28" s="2">
        <v>3.9306293592284547E-2</v>
      </c>
      <c r="L28" s="2"/>
      <c r="M28" s="2">
        <f>VLOOKUP($A28,[1]Burgiss_Return!$B:$P,MATCH(M$2,[1]Burgiss_Return!$B$5:$P$5,0),0)</f>
        <v>2.1299999999999999E-2</v>
      </c>
      <c r="N28" s="2"/>
      <c r="O28" s="2"/>
      <c r="P28" s="2"/>
      <c r="Q28" s="2">
        <v>0.13985148514851486</v>
      </c>
      <c r="R28" s="2"/>
      <c r="S28" s="2"/>
      <c r="T28" s="2"/>
      <c r="U28" s="2"/>
      <c r="V28" s="2"/>
    </row>
    <row r="29" spans="1:22" x14ac:dyDescent="0.2">
      <c r="A29" s="3">
        <v>38898</v>
      </c>
      <c r="B29" s="2">
        <f>VLOOKUP($A29,[1]Burgiss_Return!$B:$P,MATCH(B$2,[1]Burgiss_Return!$B$5:$P$5,0),0)</f>
        <v>8.14E-2</v>
      </c>
      <c r="C29" s="2">
        <f>VLOOKUP($A29,[1]Burgiss_Return!$B:$P,MATCH(C$2,[1]Burgiss_Return!$B$5:$P$5,0),0)</f>
        <v>4.1000000000000003E-3</v>
      </c>
      <c r="D29" s="2">
        <f>VLOOKUP($A29,[1]Burgiss_Return!$B:$P,MATCH(D$2,[1]Burgiss_Return!$B$5:$P$5,0),0)</f>
        <v>4.1000000000000003E-3</v>
      </c>
      <c r="E29" s="2">
        <f>VLOOKUP($A29,[1]Burgiss_Return!$B:$P,MATCH(E$2,[1]Burgiss_Return!$B$5:$P$5,0),0)</f>
        <v>5.7099999999999998E-2</v>
      </c>
      <c r="F29" s="2">
        <f>VLOOKUP($A29,[1]Burgiss_Return!$B:$P,MATCH(F$2,[1]Burgiss_Return!$B$5:$P$5,0),0)</f>
        <v>0.04</v>
      </c>
      <c r="G29" s="2">
        <f>VLOOKUP($A29,[1]Burgiss_Return!$B:$P,MATCH(G$2,[1]Burgiss_Return!$B$5:$P$5,0),0)</f>
        <v>5.7099999999999998E-2</v>
      </c>
      <c r="H29" s="2"/>
      <c r="I29" s="2">
        <f>VLOOKUP($A29,[1]Burgiss_Return!$B:$P,MATCH(I$2,[1]Burgiss_Return!$B$5:$P$5,0),0)</f>
        <v>7.0599999999999996E-2</v>
      </c>
      <c r="J29" s="2">
        <f>VLOOKUP($A29,[1]Burgiss_Return!$B:$P,MATCH(J$2,[1]Burgiss_Return!$B$5:$P$5,0),0)</f>
        <v>2.9399999999999999E-2</v>
      </c>
      <c r="K29" s="2">
        <v>6.3046229945875609E-3</v>
      </c>
      <c r="L29" s="2"/>
      <c r="M29" s="2">
        <f>VLOOKUP($A29,[1]Burgiss_Return!$B:$P,MATCH(M$2,[1]Burgiss_Return!$B$5:$P$5,0),0)</f>
        <v>4.0599999999999997E-2</v>
      </c>
      <c r="N29" s="2"/>
      <c r="O29" s="2"/>
      <c r="P29" s="2"/>
      <c r="Q29" s="2">
        <v>-3.6958155850663754E-3</v>
      </c>
      <c r="R29" s="2"/>
      <c r="S29" s="2"/>
      <c r="T29" s="2"/>
      <c r="U29" s="2"/>
      <c r="V29" s="2"/>
    </row>
    <row r="30" spans="1:22" x14ac:dyDescent="0.2">
      <c r="A30" s="3">
        <v>38990</v>
      </c>
      <c r="B30" s="2">
        <f>VLOOKUP($A30,[1]Burgiss_Return!$B:$P,MATCH(B$2,[1]Burgiss_Return!$B$5:$P$5,0),0)</f>
        <v>3.2099999999999997E-2</v>
      </c>
      <c r="C30" s="2">
        <f>VLOOKUP($A30,[1]Burgiss_Return!$B:$P,MATCH(C$2,[1]Burgiss_Return!$B$5:$P$5,0),0)</f>
        <v>1.4500000000000001E-2</v>
      </c>
      <c r="D30" s="2">
        <f>VLOOKUP($A30,[1]Burgiss_Return!$B:$P,MATCH(D$2,[1]Burgiss_Return!$B$5:$P$5,0),0)</f>
        <v>1.4500000000000001E-2</v>
      </c>
      <c r="E30" s="2">
        <f>VLOOKUP($A30,[1]Burgiss_Return!$B:$P,MATCH(E$2,[1]Burgiss_Return!$B$5:$P$5,0),0)</f>
        <v>3.9399999999999998E-2</v>
      </c>
      <c r="F30" s="2">
        <f>VLOOKUP($A30,[1]Burgiss_Return!$B:$P,MATCH(F$2,[1]Burgiss_Return!$B$5:$P$5,0),0)</f>
        <v>2.86E-2</v>
      </c>
      <c r="G30" s="2">
        <f>VLOOKUP($A30,[1]Burgiss_Return!$B:$P,MATCH(G$2,[1]Burgiss_Return!$B$5:$P$5,0),0)</f>
        <v>3.9399999999999998E-2</v>
      </c>
      <c r="H30" s="2"/>
      <c r="I30" s="2">
        <f>VLOOKUP($A30,[1]Burgiss_Return!$B:$P,MATCH(I$2,[1]Burgiss_Return!$B$5:$P$5,0),0)</f>
        <v>2.8299999999999999E-2</v>
      </c>
      <c r="J30" s="2">
        <f>VLOOKUP($A30,[1]Burgiss_Return!$B:$P,MATCH(J$2,[1]Burgiss_Return!$B$5:$P$5,0),0)</f>
        <v>-8.0000000000000004E-4</v>
      </c>
      <c r="K30" s="2">
        <v>4.6450011050369611E-3</v>
      </c>
      <c r="L30" s="2"/>
      <c r="M30" s="2">
        <f>VLOOKUP($A30,[1]Burgiss_Return!$B:$P,MATCH(M$2,[1]Burgiss_Return!$B$5:$P$5,0),0)</f>
        <v>3.4299999999999997E-2</v>
      </c>
      <c r="N30" s="2"/>
      <c r="O30" s="2"/>
      <c r="P30" s="2"/>
      <c r="Q30" s="2">
        <v>9.9186139928044925E-2</v>
      </c>
      <c r="R30" s="2"/>
      <c r="S30" s="2"/>
      <c r="T30" s="2"/>
      <c r="U30" s="2"/>
      <c r="V30" s="2"/>
    </row>
    <row r="31" spans="1:22" x14ac:dyDescent="0.2">
      <c r="A31" s="3">
        <v>39082</v>
      </c>
      <c r="B31" s="2">
        <f>VLOOKUP($A31,[1]Burgiss_Return!$B:$P,MATCH(B$2,[1]Burgiss_Return!$B$5:$P$5,0),0)</f>
        <v>0.17560000000000001</v>
      </c>
      <c r="C31" s="2">
        <f>VLOOKUP($A31,[1]Burgiss_Return!$B:$P,MATCH(C$2,[1]Burgiss_Return!$B$5:$P$5,0),0)</f>
        <v>9.1399999999999995E-2</v>
      </c>
      <c r="D31" s="2">
        <f>VLOOKUP($A31,[1]Burgiss_Return!$B:$P,MATCH(D$2,[1]Burgiss_Return!$B$5:$P$5,0),0)</f>
        <v>9.1399999999999995E-2</v>
      </c>
      <c r="E31" s="2">
        <f>VLOOKUP($A31,[1]Burgiss_Return!$B:$P,MATCH(E$2,[1]Burgiss_Return!$B$5:$P$5,0),0)</f>
        <v>0.1077</v>
      </c>
      <c r="F31" s="2">
        <f>VLOOKUP($A31,[1]Burgiss_Return!$B:$P,MATCH(F$2,[1]Burgiss_Return!$B$5:$P$5,0),0)</f>
        <v>6.9599999999999995E-2</v>
      </c>
      <c r="G31" s="2">
        <f>VLOOKUP($A31,[1]Burgiss_Return!$B:$P,MATCH(G$2,[1]Burgiss_Return!$B$5:$P$5,0),0)</f>
        <v>0.1077</v>
      </c>
      <c r="H31" s="2"/>
      <c r="I31" s="2">
        <f>VLOOKUP($A31,[1]Burgiss_Return!$B:$P,MATCH(I$2,[1]Burgiss_Return!$B$5:$P$5,0),0)</f>
        <v>7.6399999999999996E-2</v>
      </c>
      <c r="J31" s="2">
        <f>VLOOKUP($A31,[1]Burgiss_Return!$B:$P,MATCH(J$2,[1]Burgiss_Return!$B$5:$P$5,0),0)</f>
        <v>0.1133</v>
      </c>
      <c r="K31" s="2">
        <v>3.9354702216877868E-2</v>
      </c>
      <c r="L31" s="2"/>
      <c r="M31" s="2">
        <f>VLOOKUP($A31,[1]Burgiss_Return!$B:$P,MATCH(M$2,[1]Burgiss_Return!$B$5:$P$5,0),0)</f>
        <v>0.17580000000000001</v>
      </c>
      <c r="N31" s="2"/>
      <c r="O31" s="2"/>
      <c r="P31" s="2"/>
      <c r="Q31" s="2">
        <v>0.1404002720171853</v>
      </c>
      <c r="R31" s="2">
        <f>VLOOKUP($A31,[1]Burgiss_Return!$B:$P,MATCH(R$2,[1]Burgiss_Return!$B$5:$P$5,0),0)</f>
        <v>-4.07E-2</v>
      </c>
      <c r="S31" s="2">
        <f>VLOOKUP($A31,[1]Burgiss_Return!$B:$P,MATCH(S$2,[1]Burgiss_Return!$B$5:$P$5,0),0)</f>
        <v>-4.07E-2</v>
      </c>
      <c r="T31" s="2">
        <f>VLOOKUP($A31,[1]Burgiss_Return!$B:$P,MATCH(T$2,[1]Burgiss_Return!$B$5:$P$5,0),0)</f>
        <v>-4.07E-2</v>
      </c>
      <c r="U31" s="2">
        <f>VLOOKUP($A31,[1]Burgiss_Return!$B:$P,MATCH(U$2,[1]Burgiss_Return!$B$5:$P$5,0),0)</f>
        <v>-4.07E-2</v>
      </c>
      <c r="V31" s="2"/>
    </row>
    <row r="32" spans="1:22" x14ac:dyDescent="0.2">
      <c r="A32" s="3">
        <v>39172</v>
      </c>
      <c r="B32" s="2">
        <f>VLOOKUP($A32,[1]Burgiss_Return!$B:$P,MATCH(B$2,[1]Burgiss_Return!$B$5:$P$5,0),0)</f>
        <v>5.4300000000000001E-2</v>
      </c>
      <c r="C32" s="2">
        <f>VLOOKUP($A32,[1]Burgiss_Return!$B:$P,MATCH(C$2,[1]Burgiss_Return!$B$5:$P$5,0),0)</f>
        <v>1.15E-2</v>
      </c>
      <c r="D32" s="2">
        <f>VLOOKUP($A32,[1]Burgiss_Return!$B:$P,MATCH(D$2,[1]Burgiss_Return!$B$5:$P$5,0),0)</f>
        <v>1.15E-2</v>
      </c>
      <c r="E32" s="2">
        <f>VLOOKUP($A32,[1]Burgiss_Return!$B:$P,MATCH(E$2,[1]Burgiss_Return!$B$5:$P$5,0),0)</f>
        <v>3.6400000000000002E-2</v>
      </c>
      <c r="F32" s="2">
        <f>VLOOKUP($A32,[1]Burgiss_Return!$B:$P,MATCH(F$2,[1]Burgiss_Return!$B$5:$P$5,0),0)</f>
        <v>4.2000000000000003E-2</v>
      </c>
      <c r="G32" s="2">
        <f>VLOOKUP($A32,[1]Burgiss_Return!$B:$P,MATCH(G$2,[1]Burgiss_Return!$B$5:$P$5,0),0)</f>
        <v>3.6400000000000002E-2</v>
      </c>
      <c r="H32" s="2"/>
      <c r="I32" s="2">
        <f>VLOOKUP($A32,[1]Burgiss_Return!$B:$P,MATCH(I$2,[1]Burgiss_Return!$B$5:$P$5,0),0)</f>
        <v>4.7399999999999998E-2</v>
      </c>
      <c r="J32" s="2">
        <f>VLOOKUP($A32,[1]Burgiss_Return!$B:$P,MATCH(J$2,[1]Burgiss_Return!$B$5:$P$5,0),0)</f>
        <v>4.1099999999999998E-2</v>
      </c>
      <c r="K32" s="2">
        <v>3.1239625914147195E-2</v>
      </c>
      <c r="L32" s="2"/>
      <c r="M32" s="2">
        <f>VLOOKUP($A32,[1]Burgiss_Return!$B:$P,MATCH(M$2,[1]Burgiss_Return!$B$5:$P$5,0),0)</f>
        <v>0.1033</v>
      </c>
      <c r="N32" s="2"/>
      <c r="O32" s="2"/>
      <c r="P32" s="2"/>
      <c r="Q32" s="2">
        <v>6.222622245505316E-2</v>
      </c>
      <c r="R32" s="2">
        <f>VLOOKUP($A32,[1]Burgiss_Return!$B:$P,MATCH(R$2,[1]Burgiss_Return!$B$5:$P$5,0),0)</f>
        <v>5.4000000000000003E-3</v>
      </c>
      <c r="S32" s="2">
        <f>VLOOKUP($A32,[1]Burgiss_Return!$B:$P,MATCH(S$2,[1]Burgiss_Return!$B$5:$P$5,0),0)</f>
        <v>5.4000000000000003E-3</v>
      </c>
      <c r="T32" s="2">
        <f>VLOOKUP($A32,[1]Burgiss_Return!$B:$P,MATCH(T$2,[1]Burgiss_Return!$B$5:$P$5,0),0)</f>
        <v>5.4000000000000003E-3</v>
      </c>
      <c r="U32" s="2">
        <f>VLOOKUP($A32,[1]Burgiss_Return!$B:$P,MATCH(U$2,[1]Burgiss_Return!$B$5:$P$5,0),0)</f>
        <v>5.4000000000000003E-3</v>
      </c>
      <c r="V32" s="2"/>
    </row>
    <row r="33" spans="1:22" x14ac:dyDescent="0.2">
      <c r="A33" s="3">
        <v>39263</v>
      </c>
      <c r="B33" s="2">
        <f>VLOOKUP($A33,[1]Burgiss_Return!$B:$P,MATCH(B$2,[1]Burgiss_Return!$B$5:$P$5,0),0)</f>
        <v>0.11169999999999999</v>
      </c>
      <c r="C33" s="2">
        <f>VLOOKUP($A33,[1]Burgiss_Return!$B:$P,MATCH(C$2,[1]Burgiss_Return!$B$5:$P$5,0),0)</f>
        <v>7.8899999999999998E-2</v>
      </c>
      <c r="D33" s="2">
        <f>VLOOKUP($A33,[1]Burgiss_Return!$B:$P,MATCH(D$2,[1]Burgiss_Return!$B$5:$P$5,0),0)</f>
        <v>7.8899999999999998E-2</v>
      </c>
      <c r="E33" s="2">
        <f>VLOOKUP($A33,[1]Burgiss_Return!$B:$P,MATCH(E$2,[1]Burgiss_Return!$B$5:$P$5,0),0)</f>
        <v>6.7199999999999996E-2</v>
      </c>
      <c r="F33" s="2">
        <f>VLOOKUP($A33,[1]Burgiss_Return!$B:$P,MATCH(F$2,[1]Burgiss_Return!$B$5:$P$5,0),0)</f>
        <v>6.4100000000000004E-2</v>
      </c>
      <c r="G33" s="2">
        <f>VLOOKUP($A33,[1]Burgiss_Return!$B:$P,MATCH(G$2,[1]Burgiss_Return!$B$5:$P$5,0),0)</f>
        <v>6.7199999999999996E-2</v>
      </c>
      <c r="H33" s="2"/>
      <c r="I33" s="2">
        <f>VLOOKUP($A33,[1]Burgiss_Return!$B:$P,MATCH(I$2,[1]Burgiss_Return!$B$5:$P$5,0),0)</f>
        <v>5.8599999999999999E-2</v>
      </c>
      <c r="J33" s="2">
        <f>VLOOKUP($A33,[1]Burgiss_Return!$B:$P,MATCH(J$2,[1]Burgiss_Return!$B$5:$P$5,0),0)</f>
        <v>0.16309999999999999</v>
      </c>
      <c r="K33" s="2">
        <v>3.294097254299877E-2</v>
      </c>
      <c r="L33" s="2"/>
      <c r="M33" s="2">
        <f>VLOOKUP($A33,[1]Burgiss_Return!$B:$P,MATCH(M$2,[1]Burgiss_Return!$B$5:$P$5,0),0)</f>
        <v>5.2299999999999999E-2</v>
      </c>
      <c r="N33" s="2"/>
      <c r="O33" s="2"/>
      <c r="P33" s="2"/>
      <c r="Q33" s="2">
        <v>-5.8512745311503855E-2</v>
      </c>
      <c r="R33" s="2">
        <f>VLOOKUP($A33,[1]Burgiss_Return!$B:$P,MATCH(R$2,[1]Burgiss_Return!$B$5:$P$5,0),0)</f>
        <v>3.44E-2</v>
      </c>
      <c r="S33" s="2">
        <f>VLOOKUP($A33,[1]Burgiss_Return!$B:$P,MATCH(S$2,[1]Burgiss_Return!$B$5:$P$5,0),0)</f>
        <v>3.44E-2</v>
      </c>
      <c r="T33" s="2">
        <f>VLOOKUP($A33,[1]Burgiss_Return!$B:$P,MATCH(T$2,[1]Burgiss_Return!$B$5:$P$5,0),0)</f>
        <v>3.44E-2</v>
      </c>
      <c r="U33" s="2">
        <f>VLOOKUP($A33,[1]Burgiss_Return!$B:$P,MATCH(U$2,[1]Burgiss_Return!$B$5:$P$5,0),0)</f>
        <v>3.44E-2</v>
      </c>
      <c r="V33" s="2"/>
    </row>
    <row r="34" spans="1:22" x14ac:dyDescent="0.2">
      <c r="A34" s="3">
        <v>39355</v>
      </c>
      <c r="B34" s="2">
        <f>VLOOKUP($A34,[1]Burgiss_Return!$B:$P,MATCH(B$2,[1]Burgiss_Return!$B$5:$P$5,0),0)</f>
        <v>2.8299999999999999E-2</v>
      </c>
      <c r="C34" s="2">
        <f>VLOOKUP($A34,[1]Burgiss_Return!$B:$P,MATCH(C$2,[1]Burgiss_Return!$B$5:$P$5,0),0)</f>
        <v>2.3599999999999999E-2</v>
      </c>
      <c r="D34" s="2">
        <f>VLOOKUP($A34,[1]Burgiss_Return!$B:$P,MATCH(D$2,[1]Burgiss_Return!$B$5:$P$5,0),0)</f>
        <v>2.3599999999999999E-2</v>
      </c>
      <c r="E34" s="2">
        <f>VLOOKUP($A34,[1]Burgiss_Return!$B:$P,MATCH(E$2,[1]Burgiss_Return!$B$5:$P$5,0),0)</f>
        <v>7.9500000000000001E-2</v>
      </c>
      <c r="F34" s="2">
        <f>VLOOKUP($A34,[1]Burgiss_Return!$B:$P,MATCH(F$2,[1]Burgiss_Return!$B$5:$P$5,0),0)</f>
        <v>4.99E-2</v>
      </c>
      <c r="G34" s="2">
        <f>VLOOKUP($A34,[1]Burgiss_Return!$B:$P,MATCH(G$2,[1]Burgiss_Return!$B$5:$P$5,0),0)</f>
        <v>7.9500000000000001E-2</v>
      </c>
      <c r="H34" s="2"/>
      <c r="I34" s="2">
        <f>VLOOKUP($A34,[1]Burgiss_Return!$B:$P,MATCH(I$2,[1]Burgiss_Return!$B$5:$P$5,0),0)</f>
        <v>-8.3000000000000001E-3</v>
      </c>
      <c r="J34" s="2">
        <f>VLOOKUP($A34,[1]Burgiss_Return!$B:$P,MATCH(J$2,[1]Burgiss_Return!$B$5:$P$5,0),0)</f>
        <v>7.9899999999999999E-2</v>
      </c>
      <c r="K34" s="2">
        <v>-4.4834015025503327E-3</v>
      </c>
      <c r="L34" s="2"/>
      <c r="M34" s="2">
        <f>VLOOKUP($A34,[1]Burgiss_Return!$B:$P,MATCH(M$2,[1]Burgiss_Return!$B$5:$P$5,0),0)</f>
        <v>-1.1999999999999999E-3</v>
      </c>
      <c r="N34" s="2"/>
      <c r="O34" s="2"/>
      <c r="P34" s="2"/>
      <c r="Q34" s="2">
        <v>3.6556754919279788E-2</v>
      </c>
      <c r="R34" s="2">
        <f>VLOOKUP($A34,[1]Burgiss_Return!$B:$P,MATCH(R$2,[1]Burgiss_Return!$B$5:$P$5,0),0)</f>
        <v>2.0000000000000001E-4</v>
      </c>
      <c r="S34" s="2">
        <f>VLOOKUP($A34,[1]Burgiss_Return!$B:$P,MATCH(S$2,[1]Burgiss_Return!$B$5:$P$5,0),0)</f>
        <v>2.0000000000000001E-4</v>
      </c>
      <c r="T34" s="2">
        <f>VLOOKUP($A34,[1]Burgiss_Return!$B:$P,MATCH(T$2,[1]Burgiss_Return!$B$5:$P$5,0),0)</f>
        <v>2.0000000000000001E-4</v>
      </c>
      <c r="U34" s="2">
        <f>VLOOKUP($A34,[1]Burgiss_Return!$B:$P,MATCH(U$2,[1]Burgiss_Return!$B$5:$P$5,0),0)</f>
        <v>2.0000000000000001E-4</v>
      </c>
      <c r="V34" s="2"/>
    </row>
    <row r="35" spans="1:22" x14ac:dyDescent="0.2">
      <c r="A35" s="3">
        <v>39447</v>
      </c>
      <c r="B35" s="2">
        <f>VLOOKUP($A35,[1]Burgiss_Return!$B:$P,MATCH(B$2,[1]Burgiss_Return!$B$5:$P$5,0),0)</f>
        <v>3.6900000000000002E-2</v>
      </c>
      <c r="C35" s="2">
        <f>VLOOKUP($A35,[1]Burgiss_Return!$B:$P,MATCH(C$2,[1]Burgiss_Return!$B$5:$P$5,0),0)</f>
        <v>3.8600000000000002E-2</v>
      </c>
      <c r="D35" s="2">
        <f>VLOOKUP($A35,[1]Burgiss_Return!$B:$P,MATCH(D$2,[1]Burgiss_Return!$B$5:$P$5,0),0)</f>
        <v>3.8600000000000002E-2</v>
      </c>
      <c r="E35" s="2">
        <f>VLOOKUP($A35,[1]Burgiss_Return!$B:$P,MATCH(E$2,[1]Burgiss_Return!$B$5:$P$5,0),0)</f>
        <v>5.2299999999999999E-2</v>
      </c>
      <c r="F35" s="2">
        <f>VLOOKUP($A35,[1]Burgiss_Return!$B:$P,MATCH(F$2,[1]Burgiss_Return!$B$5:$P$5,0),0)</f>
        <v>5.62E-2</v>
      </c>
      <c r="G35" s="2">
        <f>VLOOKUP($A35,[1]Burgiss_Return!$B:$P,MATCH(G$2,[1]Burgiss_Return!$B$5:$P$5,0),0)</f>
        <v>5.2299999999999999E-2</v>
      </c>
      <c r="H35" s="2"/>
      <c r="I35" s="2">
        <f>VLOOKUP($A35,[1]Burgiss_Return!$B:$P,MATCH(I$2,[1]Burgiss_Return!$B$5:$P$5,0),0)</f>
        <v>-3.5099999999999999E-2</v>
      </c>
      <c r="J35" s="2">
        <f>VLOOKUP($A35,[1]Burgiss_Return!$B:$P,MATCH(J$2,[1]Burgiss_Return!$B$5:$P$5,0),0)</f>
        <v>0.1033</v>
      </c>
      <c r="K35" s="2">
        <v>1.5416412157709614E-2</v>
      </c>
      <c r="L35" s="2"/>
      <c r="M35" s="2">
        <f>VLOOKUP($A35,[1]Burgiss_Return!$B:$P,MATCH(M$2,[1]Burgiss_Return!$B$5:$P$5,0),0)</f>
        <v>7.4999999999999997E-3</v>
      </c>
      <c r="N35" s="2"/>
      <c r="O35" s="2"/>
      <c r="P35" s="2"/>
      <c r="Q35" s="2">
        <v>-0.1024585096259818</v>
      </c>
      <c r="R35" s="2">
        <f>VLOOKUP($A35,[1]Burgiss_Return!$B:$P,MATCH(R$2,[1]Burgiss_Return!$B$5:$P$5,0),0)</f>
        <v>9.6699999999999994E-2</v>
      </c>
      <c r="S35" s="2">
        <f>VLOOKUP($A35,[1]Burgiss_Return!$B:$P,MATCH(S$2,[1]Burgiss_Return!$B$5:$P$5,0),0)</f>
        <v>9.6699999999999994E-2</v>
      </c>
      <c r="T35" s="2">
        <f>VLOOKUP($A35,[1]Burgiss_Return!$B:$P,MATCH(T$2,[1]Burgiss_Return!$B$5:$P$5,0),0)</f>
        <v>9.6699999999999994E-2</v>
      </c>
      <c r="U35" s="2">
        <f>VLOOKUP($A35,[1]Burgiss_Return!$B:$P,MATCH(U$2,[1]Burgiss_Return!$B$5:$P$5,0),0)</f>
        <v>9.6699999999999994E-2</v>
      </c>
      <c r="V35" s="2"/>
    </row>
    <row r="36" spans="1:22" x14ac:dyDescent="0.2">
      <c r="A36" s="3">
        <v>39538</v>
      </c>
      <c r="B36" s="2">
        <f>VLOOKUP($A36,[1]Burgiss_Return!$B:$P,MATCH(B$2,[1]Burgiss_Return!$B$5:$P$5,0),0)</f>
        <v>3.5000000000000001E-3</v>
      </c>
      <c r="C36" s="2">
        <f>VLOOKUP($A36,[1]Burgiss_Return!$B:$P,MATCH(C$2,[1]Burgiss_Return!$B$5:$P$5,0),0)</f>
        <v>-1.3599999999999999E-2</v>
      </c>
      <c r="D36" s="2">
        <f>VLOOKUP($A36,[1]Burgiss_Return!$B:$P,MATCH(D$2,[1]Burgiss_Return!$B$5:$P$5,0),0)</f>
        <v>-1.3599999999999999E-2</v>
      </c>
      <c r="E36" s="2">
        <f>VLOOKUP($A36,[1]Burgiss_Return!$B:$P,MATCH(E$2,[1]Burgiss_Return!$B$5:$P$5,0),0)</f>
        <v>1.17E-2</v>
      </c>
      <c r="F36" s="2">
        <f>VLOOKUP($A36,[1]Burgiss_Return!$B:$P,MATCH(F$2,[1]Burgiss_Return!$B$5:$P$5,0),0)</f>
        <v>7.1000000000000004E-3</v>
      </c>
      <c r="G36" s="2">
        <f>VLOOKUP($A36,[1]Burgiss_Return!$B:$P,MATCH(G$2,[1]Burgiss_Return!$B$5:$P$5,0),0)</f>
        <v>1.17E-2</v>
      </c>
      <c r="H36" s="2"/>
      <c r="I36" s="2">
        <f>VLOOKUP($A36,[1]Burgiss_Return!$B:$P,MATCH(I$2,[1]Burgiss_Return!$B$5:$P$5,0),0)</f>
        <v>-3.73E-2</v>
      </c>
      <c r="J36" s="2">
        <f>VLOOKUP($A36,[1]Burgiss_Return!$B:$P,MATCH(J$2,[1]Burgiss_Return!$B$5:$P$5,0),0)</f>
        <v>-7.5600000000000001E-2</v>
      </c>
      <c r="K36" s="2">
        <v>-2.8564398677963121E-2</v>
      </c>
      <c r="L36" s="2">
        <v>1.3174E-2</v>
      </c>
      <c r="M36" s="2">
        <f>VLOOKUP($A36,[1]Burgiss_Return!$B:$P,MATCH(M$2,[1]Burgiss_Return!$B$5:$P$5,0),0)</f>
        <v>1.43E-2</v>
      </c>
      <c r="N36" s="2">
        <v>1.3174E-2</v>
      </c>
      <c r="O36" s="2"/>
      <c r="P36" s="2"/>
      <c r="Q36" s="2">
        <v>-5.6292640267387006E-2</v>
      </c>
      <c r="R36" s="2">
        <f>VLOOKUP($A36,[1]Burgiss_Return!$B:$P,MATCH(R$2,[1]Burgiss_Return!$B$5:$P$5,0),0)</f>
        <v>3.5400000000000001E-2</v>
      </c>
      <c r="S36" s="2">
        <f>VLOOKUP($A36,[1]Burgiss_Return!$B:$P,MATCH(S$2,[1]Burgiss_Return!$B$5:$P$5,0),0)</f>
        <v>3.5400000000000001E-2</v>
      </c>
      <c r="T36" s="2">
        <f>VLOOKUP($A36,[1]Burgiss_Return!$B:$P,MATCH(T$2,[1]Burgiss_Return!$B$5:$P$5,0),0)</f>
        <v>3.5400000000000001E-2</v>
      </c>
      <c r="U36" s="2">
        <f>VLOOKUP($A36,[1]Burgiss_Return!$B:$P,MATCH(U$2,[1]Burgiss_Return!$B$5:$P$5,0),0)</f>
        <v>3.5400000000000001E-2</v>
      </c>
      <c r="V36" s="2"/>
    </row>
    <row r="37" spans="1:22" x14ac:dyDescent="0.2">
      <c r="A37" s="3">
        <v>39629</v>
      </c>
      <c r="B37" s="2">
        <f>VLOOKUP($A37,[1]Burgiss_Return!$B:$P,MATCH(B$2,[1]Burgiss_Return!$B$5:$P$5,0),0)</f>
        <v>-1.5900000000000001E-2</v>
      </c>
      <c r="C37" s="2">
        <f>VLOOKUP($A37,[1]Burgiss_Return!$B:$P,MATCH(C$2,[1]Burgiss_Return!$B$5:$P$5,0),0)</f>
        <v>-5.7000000000000002E-3</v>
      </c>
      <c r="D37" s="2">
        <f>VLOOKUP($A37,[1]Burgiss_Return!$B:$P,MATCH(D$2,[1]Burgiss_Return!$B$5:$P$5,0),0)</f>
        <v>-5.7000000000000002E-3</v>
      </c>
      <c r="E37" s="2">
        <f>VLOOKUP($A37,[1]Burgiss_Return!$B:$P,MATCH(E$2,[1]Burgiss_Return!$B$5:$P$5,0),0)</f>
        <v>-6.4999999999999997E-3</v>
      </c>
      <c r="F37" s="2">
        <f>VLOOKUP($A37,[1]Burgiss_Return!$B:$P,MATCH(F$2,[1]Burgiss_Return!$B$5:$P$5,0),0)</f>
        <v>-8.3000000000000001E-3</v>
      </c>
      <c r="G37" s="2">
        <f>VLOOKUP($A37,[1]Burgiss_Return!$B:$P,MATCH(G$2,[1]Burgiss_Return!$B$5:$P$5,0),0)</f>
        <v>-6.4999999999999997E-3</v>
      </c>
      <c r="H37" s="2"/>
      <c r="I37" s="2">
        <f>VLOOKUP($A37,[1]Burgiss_Return!$B:$P,MATCH(I$2,[1]Burgiss_Return!$B$5:$P$5,0),0)</f>
        <v>4.3499999999999997E-2</v>
      </c>
      <c r="J37" s="2">
        <f>VLOOKUP($A37,[1]Burgiss_Return!$B:$P,MATCH(J$2,[1]Burgiss_Return!$B$5:$P$5,0),0)</f>
        <v>-4.1099999999999998E-2</v>
      </c>
      <c r="K37" s="2">
        <v>1.6810446917893129E-2</v>
      </c>
      <c r="L37" s="2">
        <v>6.6600000000000001E-3</v>
      </c>
      <c r="M37" s="2">
        <f>VLOOKUP($A37,[1]Burgiss_Return!$B:$P,MATCH(M$2,[1]Burgiss_Return!$B$5:$P$5,0),0)</f>
        <v>-2.3900000000000001E-2</v>
      </c>
      <c r="N37" s="2">
        <v>6.6600000000000001E-3</v>
      </c>
      <c r="O37" s="2"/>
      <c r="P37" s="2"/>
      <c r="Q37" s="2">
        <v>-8.5597679481564604E-2</v>
      </c>
      <c r="R37" s="2">
        <f>VLOOKUP($A37,[1]Burgiss_Return!$B:$P,MATCH(R$2,[1]Burgiss_Return!$B$5:$P$5,0),0)</f>
        <v>3.0800000000000001E-2</v>
      </c>
      <c r="S37" s="2">
        <f>VLOOKUP($A37,[1]Burgiss_Return!$B:$P,MATCH(S$2,[1]Burgiss_Return!$B$5:$P$5,0),0)</f>
        <v>3.0800000000000001E-2</v>
      </c>
      <c r="T37" s="2">
        <f>VLOOKUP($A37,[1]Burgiss_Return!$B:$P,MATCH(T$2,[1]Burgiss_Return!$B$5:$P$5,0),0)</f>
        <v>3.0800000000000001E-2</v>
      </c>
      <c r="U37" s="2">
        <f>VLOOKUP($A37,[1]Burgiss_Return!$B:$P,MATCH(U$2,[1]Burgiss_Return!$B$5:$P$5,0),0)</f>
        <v>3.0800000000000001E-2</v>
      </c>
      <c r="V37" s="2"/>
    </row>
    <row r="38" spans="1:22" x14ac:dyDescent="0.2">
      <c r="A38" s="3">
        <v>39721</v>
      </c>
      <c r="B38" s="2">
        <f>VLOOKUP($A38,[1]Burgiss_Return!$B:$P,MATCH(B$2,[1]Burgiss_Return!$B$5:$P$5,0),0)</f>
        <v>-0.1017</v>
      </c>
      <c r="C38" s="2">
        <f>VLOOKUP($A38,[1]Burgiss_Return!$B:$P,MATCH(C$2,[1]Burgiss_Return!$B$5:$P$5,0),0)</f>
        <v>-0.03</v>
      </c>
      <c r="D38" s="2">
        <f>VLOOKUP($A38,[1]Burgiss_Return!$B:$P,MATCH(D$2,[1]Burgiss_Return!$B$5:$P$5,0),0)</f>
        <v>-0.03</v>
      </c>
      <c r="E38" s="2">
        <f>VLOOKUP($A38,[1]Burgiss_Return!$B:$P,MATCH(E$2,[1]Burgiss_Return!$B$5:$P$5,0),0)</f>
        <v>-3.39E-2</v>
      </c>
      <c r="F38" s="2">
        <f>VLOOKUP($A38,[1]Burgiss_Return!$B:$P,MATCH(F$2,[1]Burgiss_Return!$B$5:$P$5,0),0)</f>
        <v>-7.0300000000000001E-2</v>
      </c>
      <c r="G38" s="2">
        <f>VLOOKUP($A38,[1]Burgiss_Return!$B:$P,MATCH(G$2,[1]Burgiss_Return!$B$5:$P$5,0),0)</f>
        <v>-3.39E-2</v>
      </c>
      <c r="H38" s="2"/>
      <c r="I38" s="2">
        <f>VLOOKUP($A38,[1]Burgiss_Return!$B:$P,MATCH(I$2,[1]Burgiss_Return!$B$5:$P$5,0),0)</f>
        <v>-0.13250000000000001</v>
      </c>
      <c r="J38" s="2">
        <f>VLOOKUP($A38,[1]Burgiss_Return!$B:$P,MATCH(J$2,[1]Burgiss_Return!$B$5:$P$5,0),0)</f>
        <v>-9.0899999999999995E-2</v>
      </c>
      <c r="K38" s="2">
        <v>-8.3556744310494091E-2</v>
      </c>
      <c r="L38" s="2">
        <v>-7.9067999999999999E-2</v>
      </c>
      <c r="M38" s="2">
        <f>VLOOKUP($A38,[1]Burgiss_Return!$B:$P,MATCH(M$2,[1]Burgiss_Return!$B$5:$P$5,0),0)</f>
        <v>-9.9500000000000005E-2</v>
      </c>
      <c r="N38" s="2">
        <v>-7.9067999999999999E-2</v>
      </c>
      <c r="O38" s="2"/>
      <c r="P38" s="2"/>
      <c r="Q38" s="2">
        <v>-0.10410578558289663</v>
      </c>
      <c r="R38" s="2">
        <f>VLOOKUP($A38,[1]Burgiss_Return!$B:$P,MATCH(R$2,[1]Burgiss_Return!$B$5:$P$5,0),0)</f>
        <v>-9.2200000000000004E-2</v>
      </c>
      <c r="S38" s="2">
        <f>VLOOKUP($A38,[1]Burgiss_Return!$B:$P,MATCH(S$2,[1]Burgiss_Return!$B$5:$P$5,0),0)</f>
        <v>-9.2200000000000004E-2</v>
      </c>
      <c r="T38" s="2">
        <f>VLOOKUP($A38,[1]Burgiss_Return!$B:$P,MATCH(T$2,[1]Burgiss_Return!$B$5:$P$5,0),0)</f>
        <v>-9.2200000000000004E-2</v>
      </c>
      <c r="U38" s="2">
        <f>VLOOKUP($A38,[1]Burgiss_Return!$B:$P,MATCH(U$2,[1]Burgiss_Return!$B$5:$P$5,0),0)</f>
        <v>-9.2200000000000004E-2</v>
      </c>
      <c r="V38" s="2"/>
    </row>
    <row r="39" spans="1:22" x14ac:dyDescent="0.2">
      <c r="A39" s="3">
        <v>39813</v>
      </c>
      <c r="B39" s="2">
        <f>VLOOKUP($A39,[1]Burgiss_Return!$B:$P,MATCH(B$2,[1]Burgiss_Return!$B$5:$P$5,0),0)</f>
        <v>-0.18870000000000001</v>
      </c>
      <c r="C39" s="2">
        <f>VLOOKUP($A39,[1]Burgiss_Return!$B:$P,MATCH(C$2,[1]Burgiss_Return!$B$5:$P$5,0),0)</f>
        <v>-0.1139</v>
      </c>
      <c r="D39" s="2">
        <f>VLOOKUP($A39,[1]Burgiss_Return!$B:$P,MATCH(D$2,[1]Burgiss_Return!$B$5:$P$5,0),0)</f>
        <v>-0.1139</v>
      </c>
      <c r="E39" s="2">
        <f>VLOOKUP($A39,[1]Burgiss_Return!$B:$P,MATCH(E$2,[1]Burgiss_Return!$B$5:$P$5,0),0)</f>
        <v>-0.161</v>
      </c>
      <c r="F39" s="2">
        <f>VLOOKUP($A39,[1]Burgiss_Return!$B:$P,MATCH(F$2,[1]Burgiss_Return!$B$5:$P$5,0),0)</f>
        <v>-0.14349999999999999</v>
      </c>
      <c r="G39" s="2">
        <f>VLOOKUP($A39,[1]Burgiss_Return!$B:$P,MATCH(G$2,[1]Burgiss_Return!$B$5:$P$5,0),0)</f>
        <v>-0.161</v>
      </c>
      <c r="H39" s="2"/>
      <c r="I39" s="2">
        <f>VLOOKUP($A39,[1]Burgiss_Return!$B:$P,MATCH(I$2,[1]Burgiss_Return!$B$5:$P$5,0),0)</f>
        <v>-0.19819999999999999</v>
      </c>
      <c r="J39" s="2">
        <f>VLOOKUP($A39,[1]Burgiss_Return!$B:$P,MATCH(J$2,[1]Burgiss_Return!$B$5:$P$5,0),0)</f>
        <v>-0.17380000000000001</v>
      </c>
      <c r="K39" s="2">
        <v>-0.11474975817177868</v>
      </c>
      <c r="L39" s="2">
        <v>-0.15496499999999999</v>
      </c>
      <c r="M39" s="2">
        <f>VLOOKUP($A39,[1]Burgiss_Return!$B:$P,MATCH(M$2,[1]Burgiss_Return!$B$5:$P$5,0),0)</f>
        <v>-0.26900000000000002</v>
      </c>
      <c r="N39" s="2">
        <v>-0.15496499999999999</v>
      </c>
      <c r="O39" s="2"/>
      <c r="P39" s="2"/>
      <c r="Q39" s="2">
        <v>-0.32378532080237399</v>
      </c>
      <c r="R39" s="2">
        <f>VLOOKUP($A39,[1]Burgiss_Return!$B:$P,MATCH(R$2,[1]Burgiss_Return!$B$5:$P$5,0),0)</f>
        <v>-0.10829999999999999</v>
      </c>
      <c r="S39" s="2">
        <f>VLOOKUP($A39,[1]Burgiss_Return!$B:$P,MATCH(S$2,[1]Burgiss_Return!$B$5:$P$5,0),0)</f>
        <v>-0.10829999999999999</v>
      </c>
      <c r="T39" s="2">
        <f>VLOOKUP($A39,[1]Burgiss_Return!$B:$P,MATCH(T$2,[1]Burgiss_Return!$B$5:$P$5,0),0)</f>
        <v>-0.10829999999999999</v>
      </c>
      <c r="U39" s="2">
        <f>VLOOKUP($A39,[1]Burgiss_Return!$B:$P,MATCH(U$2,[1]Burgiss_Return!$B$5:$P$5,0),0)</f>
        <v>-0.10829999999999999</v>
      </c>
      <c r="V39" s="2"/>
    </row>
    <row r="40" spans="1:22" x14ac:dyDescent="0.2">
      <c r="A40" s="3">
        <v>39903</v>
      </c>
      <c r="B40" s="2">
        <f>VLOOKUP($A40,[1]Burgiss_Return!$B:$P,MATCH(B$2,[1]Burgiss_Return!$B$5:$P$5,0),0)</f>
        <v>-4.7699999999999999E-2</v>
      </c>
      <c r="C40" s="2">
        <f>VLOOKUP($A40,[1]Burgiss_Return!$B:$P,MATCH(C$2,[1]Burgiss_Return!$B$5:$P$5,0),0)</f>
        <v>-2.53E-2</v>
      </c>
      <c r="D40" s="2">
        <f>VLOOKUP($A40,[1]Burgiss_Return!$B:$P,MATCH(D$2,[1]Burgiss_Return!$B$5:$P$5,0),0)</f>
        <v>-2.53E-2</v>
      </c>
      <c r="E40" s="2">
        <f>VLOOKUP($A40,[1]Burgiss_Return!$B:$P,MATCH(E$2,[1]Burgiss_Return!$B$5:$P$5,0),0)</f>
        <v>-2.8199999999999999E-2</v>
      </c>
      <c r="F40" s="2">
        <f>VLOOKUP($A40,[1]Burgiss_Return!$B:$P,MATCH(F$2,[1]Burgiss_Return!$B$5:$P$5,0),0)</f>
        <v>-4.2099999999999999E-2</v>
      </c>
      <c r="G40" s="2">
        <f>VLOOKUP($A40,[1]Burgiss_Return!$B:$P,MATCH(G$2,[1]Burgiss_Return!$B$5:$P$5,0),0)</f>
        <v>-2.8199999999999999E-2</v>
      </c>
      <c r="H40" s="2"/>
      <c r="I40" s="2">
        <f>VLOOKUP($A40,[1]Burgiss_Return!$B:$P,MATCH(I$2,[1]Burgiss_Return!$B$5:$P$5,0),0)</f>
        <v>-4.2599999999999999E-2</v>
      </c>
      <c r="J40" s="2">
        <f>VLOOKUP($A40,[1]Burgiss_Return!$B:$P,MATCH(J$2,[1]Burgiss_Return!$B$5:$P$5,0),0)</f>
        <v>-3.8E-3</v>
      </c>
      <c r="K40" s="2">
        <v>7.0823460381517211E-3</v>
      </c>
      <c r="L40" s="2">
        <v>-0.11186500000000001</v>
      </c>
      <c r="M40" s="2">
        <f>VLOOKUP($A40,[1]Burgiss_Return!$B:$P,MATCH(M$2,[1]Burgiss_Return!$B$5:$P$5,0),0)</f>
        <v>-0.11559999999999999</v>
      </c>
      <c r="N40" s="2">
        <v>-0.11186500000000001</v>
      </c>
      <c r="O40" s="2"/>
      <c r="P40" s="2"/>
      <c r="Q40" s="2">
        <v>-0.2209459536876841</v>
      </c>
      <c r="R40" s="2">
        <f>VLOOKUP($A40,[1]Burgiss_Return!$B:$P,MATCH(R$2,[1]Burgiss_Return!$B$5:$P$5,0),0)</f>
        <v>-7.0599999999999996E-2</v>
      </c>
      <c r="S40" s="2">
        <f>VLOOKUP($A40,[1]Burgiss_Return!$B:$P,MATCH(S$2,[1]Burgiss_Return!$B$5:$P$5,0),0)</f>
        <v>-7.0599999999999996E-2</v>
      </c>
      <c r="T40" s="2">
        <f>VLOOKUP($A40,[1]Burgiss_Return!$B:$P,MATCH(T$2,[1]Burgiss_Return!$B$5:$P$5,0),0)</f>
        <v>-7.0599999999999996E-2</v>
      </c>
      <c r="U40" s="2">
        <f>VLOOKUP($A40,[1]Burgiss_Return!$B:$P,MATCH(U$2,[1]Burgiss_Return!$B$5:$P$5,0),0)</f>
        <v>-7.0599999999999996E-2</v>
      </c>
      <c r="V40" s="2"/>
    </row>
    <row r="41" spans="1:22" x14ac:dyDescent="0.2">
      <c r="A41" s="3">
        <v>39994</v>
      </c>
      <c r="B41" s="2">
        <f>VLOOKUP($A41,[1]Burgiss_Return!$B:$P,MATCH(B$2,[1]Burgiss_Return!$B$5:$P$5,0),0)</f>
        <v>5.3699999999999998E-2</v>
      </c>
      <c r="C41" s="2">
        <f>VLOOKUP($A41,[1]Burgiss_Return!$B:$P,MATCH(C$2,[1]Burgiss_Return!$B$5:$P$5,0),0)</f>
        <v>1.15E-2</v>
      </c>
      <c r="D41" s="2">
        <f>VLOOKUP($A41,[1]Burgiss_Return!$B:$P,MATCH(D$2,[1]Burgiss_Return!$B$5:$P$5,0),0)</f>
        <v>1.15E-2</v>
      </c>
      <c r="E41" s="2">
        <f>VLOOKUP($A41,[1]Burgiss_Return!$B:$P,MATCH(E$2,[1]Burgiss_Return!$B$5:$P$5,0),0)</f>
        <v>-2.4199999999999999E-2</v>
      </c>
      <c r="F41" s="2">
        <f>VLOOKUP($A41,[1]Burgiss_Return!$B:$P,MATCH(F$2,[1]Burgiss_Return!$B$5:$P$5,0),0)</f>
        <v>-1.1599999999999999E-2</v>
      </c>
      <c r="G41" s="2">
        <f>VLOOKUP($A41,[1]Burgiss_Return!$B:$P,MATCH(G$2,[1]Burgiss_Return!$B$5:$P$5,0),0)</f>
        <v>-2.4199999999999999E-2</v>
      </c>
      <c r="H41" s="2"/>
      <c r="I41" s="2">
        <f>VLOOKUP($A41,[1]Burgiss_Return!$B:$P,MATCH(I$2,[1]Burgiss_Return!$B$5:$P$5,0),0)</f>
        <v>0.27050000000000002</v>
      </c>
      <c r="J41" s="2">
        <f>VLOOKUP($A41,[1]Burgiss_Return!$B:$P,MATCH(J$2,[1]Burgiss_Return!$B$5:$P$5,0),0)</f>
        <v>0.14799999999999999</v>
      </c>
      <c r="K41" s="2">
        <v>3.8748050362802156E-2</v>
      </c>
      <c r="L41" s="2">
        <v>-2.1385999999999999E-2</v>
      </c>
      <c r="M41" s="2">
        <f>VLOOKUP($A41,[1]Burgiss_Return!$B:$P,MATCH(M$2,[1]Burgiss_Return!$B$5:$P$5,0),0)</f>
        <v>-0.1236</v>
      </c>
      <c r="N41" s="2">
        <v>-2.1385999999999999E-2</v>
      </c>
      <c r="O41" s="2"/>
      <c r="P41" s="2"/>
      <c r="Q41" s="2">
        <v>0.3590563803893021</v>
      </c>
      <c r="R41" s="2">
        <f>VLOOKUP($A41,[1]Burgiss_Return!$B:$P,MATCH(R$2,[1]Burgiss_Return!$B$5:$P$5,0),0)</f>
        <v>4.0500000000000001E-2</v>
      </c>
      <c r="S41" s="2">
        <f>VLOOKUP($A41,[1]Burgiss_Return!$B:$P,MATCH(S$2,[1]Burgiss_Return!$B$5:$P$5,0),0)</f>
        <v>4.0500000000000001E-2</v>
      </c>
      <c r="T41" s="2">
        <f>VLOOKUP($A41,[1]Burgiss_Return!$B:$P,MATCH(T$2,[1]Burgiss_Return!$B$5:$P$5,0),0)</f>
        <v>4.0500000000000001E-2</v>
      </c>
      <c r="U41" s="2">
        <f>VLOOKUP($A41,[1]Burgiss_Return!$B:$P,MATCH(U$2,[1]Burgiss_Return!$B$5:$P$5,0),0)</f>
        <v>4.0500000000000001E-2</v>
      </c>
      <c r="V41" s="2"/>
    </row>
    <row r="42" spans="1:22" x14ac:dyDescent="0.2">
      <c r="A42" s="3">
        <v>40086</v>
      </c>
      <c r="B42" s="2">
        <f>VLOOKUP($A42,[1]Burgiss_Return!$B:$P,MATCH(B$2,[1]Burgiss_Return!$B$5:$P$5,0),0)</f>
        <v>7.9799999999999996E-2</v>
      </c>
      <c r="C42" s="2">
        <f>VLOOKUP($A42,[1]Burgiss_Return!$B:$P,MATCH(C$2,[1]Burgiss_Return!$B$5:$P$5,0),0)</f>
        <v>1.7299999999999999E-2</v>
      </c>
      <c r="D42" s="2">
        <f>VLOOKUP($A42,[1]Burgiss_Return!$B:$P,MATCH(D$2,[1]Burgiss_Return!$B$5:$P$5,0),0)</f>
        <v>1.7299999999999999E-2</v>
      </c>
      <c r="E42" s="2">
        <f>VLOOKUP($A42,[1]Burgiss_Return!$B:$P,MATCH(E$2,[1]Burgiss_Return!$B$5:$P$5,0),0)</f>
        <v>2.5700000000000001E-2</v>
      </c>
      <c r="F42" s="2">
        <f>VLOOKUP($A42,[1]Burgiss_Return!$B:$P,MATCH(F$2,[1]Burgiss_Return!$B$5:$P$5,0),0)</f>
        <v>4.02E-2</v>
      </c>
      <c r="G42" s="2">
        <f>VLOOKUP($A42,[1]Burgiss_Return!$B:$P,MATCH(G$2,[1]Burgiss_Return!$B$5:$P$5,0),0)</f>
        <v>2.5700000000000001E-2</v>
      </c>
      <c r="H42" s="2"/>
      <c r="I42" s="2">
        <f>VLOOKUP($A42,[1]Burgiss_Return!$B:$P,MATCH(I$2,[1]Burgiss_Return!$B$5:$P$5,0),0)</f>
        <v>0.17580000000000001</v>
      </c>
      <c r="J42" s="2">
        <f>VLOOKUP($A42,[1]Burgiss_Return!$B:$P,MATCH(J$2,[1]Burgiss_Return!$B$5:$P$5,0),0)</f>
        <v>7.4399999999999994E-2</v>
      </c>
      <c r="K42" s="2">
        <v>3.6810568584216607E-2</v>
      </c>
      <c r="L42" s="2">
        <v>-2.3272000000000001E-2</v>
      </c>
      <c r="M42" s="2">
        <f>VLOOKUP($A42,[1]Burgiss_Return!$B:$P,MATCH(M$2,[1]Burgiss_Return!$B$5:$P$5,0),0)</f>
        <v>-3.8600000000000002E-2</v>
      </c>
      <c r="N42" s="2">
        <v>-2.3272000000000001E-2</v>
      </c>
      <c r="O42" s="2"/>
      <c r="P42" s="2"/>
      <c r="Q42" s="2">
        <v>0.25081974309305566</v>
      </c>
      <c r="R42" s="2">
        <f>VLOOKUP($A42,[1]Burgiss_Return!$B:$P,MATCH(R$2,[1]Burgiss_Return!$B$5:$P$5,0),0)</f>
        <v>1.9E-2</v>
      </c>
      <c r="S42" s="2">
        <f>VLOOKUP($A42,[1]Burgiss_Return!$B:$P,MATCH(S$2,[1]Burgiss_Return!$B$5:$P$5,0),0)</f>
        <v>1.9E-2</v>
      </c>
      <c r="T42" s="2">
        <f>VLOOKUP($A42,[1]Burgiss_Return!$B:$P,MATCH(T$2,[1]Burgiss_Return!$B$5:$P$5,0),0)</f>
        <v>1.9E-2</v>
      </c>
      <c r="U42" s="2">
        <f>VLOOKUP($A42,[1]Burgiss_Return!$B:$P,MATCH(U$2,[1]Burgiss_Return!$B$5:$P$5,0),0)</f>
        <v>1.9E-2</v>
      </c>
      <c r="V42" s="2"/>
    </row>
    <row r="43" spans="1:22" x14ac:dyDescent="0.2">
      <c r="A43" s="3">
        <v>40178</v>
      </c>
      <c r="B43" s="2">
        <f>VLOOKUP($A43,[1]Burgiss_Return!$B:$P,MATCH(B$2,[1]Burgiss_Return!$B$5:$P$5,0),0)</f>
        <v>6.4899999999999999E-2</v>
      </c>
      <c r="C43" s="2">
        <f>VLOOKUP($A43,[1]Burgiss_Return!$B:$P,MATCH(C$2,[1]Burgiss_Return!$B$5:$P$5,0),0)</f>
        <v>4.2999999999999997E-2</v>
      </c>
      <c r="D43" s="2">
        <f>VLOOKUP($A43,[1]Burgiss_Return!$B:$P,MATCH(D$2,[1]Burgiss_Return!$B$5:$P$5,0),0)</f>
        <v>4.2999999999999997E-2</v>
      </c>
      <c r="E43" s="2">
        <f>VLOOKUP($A43,[1]Burgiss_Return!$B:$P,MATCH(E$2,[1]Burgiss_Return!$B$5:$P$5,0),0)</f>
        <v>7.2499999999999995E-2</v>
      </c>
      <c r="F43" s="2">
        <f>VLOOKUP($A43,[1]Burgiss_Return!$B:$P,MATCH(F$2,[1]Burgiss_Return!$B$5:$P$5,0),0)</f>
        <v>5.0599999999999999E-2</v>
      </c>
      <c r="G43" s="2">
        <f>VLOOKUP($A43,[1]Burgiss_Return!$B:$P,MATCH(G$2,[1]Burgiss_Return!$B$5:$P$5,0),0)</f>
        <v>7.2499999999999995E-2</v>
      </c>
      <c r="H43" s="2"/>
      <c r="I43" s="2">
        <f>VLOOKUP($A43,[1]Burgiss_Return!$B:$P,MATCH(I$2,[1]Burgiss_Return!$B$5:$P$5,0),0)</f>
        <v>8.6699999999999999E-2</v>
      </c>
      <c r="J43" s="2">
        <f>VLOOKUP($A43,[1]Burgiss_Return!$B:$P,MATCH(J$2,[1]Burgiss_Return!$B$5:$P$5,0),0)</f>
        <v>0.1164</v>
      </c>
      <c r="K43" s="2">
        <v>1.0942709045253851E-2</v>
      </c>
      <c r="L43" s="2">
        <v>-2.2239999999999998E-3</v>
      </c>
      <c r="M43" s="2">
        <f>VLOOKUP($A43,[1]Burgiss_Return!$B:$P,MATCH(M$2,[1]Burgiss_Return!$B$5:$P$5,0),0)</f>
        <v>-0.1196</v>
      </c>
      <c r="N43" s="2">
        <v>-2.2239999999999998E-3</v>
      </c>
      <c r="O43" s="2"/>
      <c r="P43" s="2"/>
      <c r="Q43" s="2">
        <v>4.3954855538588689E-2</v>
      </c>
      <c r="R43" s="2">
        <f>VLOOKUP($A43,[1]Burgiss_Return!$B:$P,MATCH(R$2,[1]Burgiss_Return!$B$5:$P$5,0),0)</f>
        <v>-2E-3</v>
      </c>
      <c r="S43" s="2">
        <f>VLOOKUP($A43,[1]Burgiss_Return!$B:$P,MATCH(S$2,[1]Burgiss_Return!$B$5:$P$5,0),0)</f>
        <v>-2E-3</v>
      </c>
      <c r="T43" s="2">
        <f>VLOOKUP($A43,[1]Burgiss_Return!$B:$P,MATCH(T$2,[1]Burgiss_Return!$B$5:$P$5,0),0)</f>
        <v>-2E-3</v>
      </c>
      <c r="U43" s="2">
        <f>VLOOKUP($A43,[1]Burgiss_Return!$B:$P,MATCH(U$2,[1]Burgiss_Return!$B$5:$P$5,0),0)</f>
        <v>-2E-3</v>
      </c>
      <c r="V43" s="2"/>
    </row>
    <row r="44" spans="1:22" x14ac:dyDescent="0.2">
      <c r="A44" s="3">
        <v>40268</v>
      </c>
      <c r="B44" s="2">
        <f>VLOOKUP($A44,[1]Burgiss_Return!$B:$P,MATCH(B$2,[1]Burgiss_Return!$B$5:$P$5,0),0)</f>
        <v>2.7300000000000001E-2</v>
      </c>
      <c r="C44" s="2">
        <f>VLOOKUP($A44,[1]Burgiss_Return!$B:$P,MATCH(C$2,[1]Burgiss_Return!$B$5:$P$5,0),0)</f>
        <v>5.0000000000000001E-3</v>
      </c>
      <c r="D44" s="2">
        <f>VLOOKUP($A44,[1]Burgiss_Return!$B:$P,MATCH(D$2,[1]Burgiss_Return!$B$5:$P$5,0),0)</f>
        <v>5.0000000000000001E-3</v>
      </c>
      <c r="E44" s="2">
        <f>VLOOKUP($A44,[1]Burgiss_Return!$B:$P,MATCH(E$2,[1]Burgiss_Return!$B$5:$P$5,0),0)</f>
        <v>1.6899999999999998E-2</v>
      </c>
      <c r="F44" s="2">
        <f>VLOOKUP($A44,[1]Burgiss_Return!$B:$P,MATCH(F$2,[1]Burgiss_Return!$B$5:$P$5,0),0)</f>
        <v>1.06E-2</v>
      </c>
      <c r="G44" s="2">
        <f>VLOOKUP($A44,[1]Burgiss_Return!$B:$P,MATCH(G$2,[1]Burgiss_Return!$B$5:$P$5,0),0)</f>
        <v>1.6899999999999998E-2</v>
      </c>
      <c r="H44" s="2"/>
      <c r="I44" s="2">
        <f>VLOOKUP($A44,[1]Burgiss_Return!$B:$P,MATCH(I$2,[1]Burgiss_Return!$B$5:$P$5,0),0)</f>
        <v>5.5E-2</v>
      </c>
      <c r="J44" s="2">
        <f>VLOOKUP($A44,[1]Burgiss_Return!$B:$P,MATCH(J$2,[1]Burgiss_Return!$B$5:$P$5,0),0)</f>
        <v>3.9399999999999998E-2</v>
      </c>
      <c r="K44" s="2">
        <v>1.6997172285071915E-2</v>
      </c>
      <c r="L44" s="2">
        <v>5.3860000000000002E-3</v>
      </c>
      <c r="M44" s="2">
        <f>VLOOKUP($A44,[1]Burgiss_Return!$B:$P,MATCH(M$2,[1]Burgiss_Return!$B$5:$P$5,0),0)</f>
        <v>5.1000000000000004E-3</v>
      </c>
      <c r="N44" s="2">
        <v>5.3860000000000002E-3</v>
      </c>
      <c r="O44" s="2"/>
      <c r="P44" s="2"/>
      <c r="Q44" s="2">
        <v>3.9655243856959288E-2</v>
      </c>
      <c r="R44" s="2">
        <f>VLOOKUP($A44,[1]Burgiss_Return!$B:$P,MATCH(R$2,[1]Burgiss_Return!$B$5:$P$5,0),0)</f>
        <v>-1.15E-2</v>
      </c>
      <c r="S44" s="2">
        <f>VLOOKUP($A44,[1]Burgiss_Return!$B:$P,MATCH(S$2,[1]Burgiss_Return!$B$5:$P$5,0),0)</f>
        <v>-1.15E-2</v>
      </c>
      <c r="T44" s="2">
        <f>VLOOKUP($A44,[1]Burgiss_Return!$B:$P,MATCH(T$2,[1]Burgiss_Return!$B$5:$P$5,0),0)</f>
        <v>-1.15E-2</v>
      </c>
      <c r="U44" s="2">
        <f>VLOOKUP($A44,[1]Burgiss_Return!$B:$P,MATCH(U$2,[1]Burgiss_Return!$B$5:$P$5,0),0)</f>
        <v>-1.15E-2</v>
      </c>
      <c r="V44" s="2"/>
    </row>
    <row r="45" spans="1:22" x14ac:dyDescent="0.2">
      <c r="A45" s="3">
        <v>40359</v>
      </c>
      <c r="B45" s="2">
        <f>VLOOKUP($A45,[1]Burgiss_Return!$B:$P,MATCH(B$2,[1]Burgiss_Return!$B$5:$P$5,0),0)</f>
        <v>1.5E-3</v>
      </c>
      <c r="C45" s="2">
        <f>VLOOKUP($A45,[1]Burgiss_Return!$B:$P,MATCH(C$2,[1]Burgiss_Return!$B$5:$P$5,0),0)</f>
        <v>-1.1000000000000001E-3</v>
      </c>
      <c r="D45" s="2">
        <f>VLOOKUP($A45,[1]Burgiss_Return!$B:$P,MATCH(D$2,[1]Burgiss_Return!$B$5:$P$5,0),0)</f>
        <v>-1.1000000000000001E-3</v>
      </c>
      <c r="E45" s="2">
        <f>VLOOKUP($A45,[1]Burgiss_Return!$B:$P,MATCH(E$2,[1]Burgiss_Return!$B$5:$P$5,0),0)</f>
        <v>2.1100000000000001E-2</v>
      </c>
      <c r="F45" s="2">
        <f>VLOOKUP($A45,[1]Burgiss_Return!$B:$P,MATCH(F$2,[1]Burgiss_Return!$B$5:$P$5,0),0)</f>
        <v>-1.04E-2</v>
      </c>
      <c r="G45" s="2">
        <f>VLOOKUP($A45,[1]Burgiss_Return!$B:$P,MATCH(G$2,[1]Burgiss_Return!$B$5:$P$5,0),0)</f>
        <v>2.1100000000000001E-2</v>
      </c>
      <c r="H45" s="2">
        <f>VLOOKUP($A45,[1]Burgiss_Return!$B:$P,MATCH(H$2,[1]Burgiss_Return!$B$5:$P$5,0),0)</f>
        <v>-1.8800000000000001E-2</v>
      </c>
      <c r="I45" s="2">
        <f>VLOOKUP($A45,[1]Burgiss_Return!$B:$P,MATCH(I$2,[1]Burgiss_Return!$B$5:$P$5,0),0)</f>
        <v>-1.72E-2</v>
      </c>
      <c r="J45" s="2">
        <f>VLOOKUP($A45,[1]Burgiss_Return!$B:$P,MATCH(J$2,[1]Burgiss_Return!$B$5:$P$5,0),0)</f>
        <v>1.14E-2</v>
      </c>
      <c r="K45" s="2">
        <v>-1.5008741234204592E-2</v>
      </c>
      <c r="L45" s="2">
        <v>2.1250000000000002E-3</v>
      </c>
      <c r="M45" s="2">
        <f>VLOOKUP($A45,[1]Burgiss_Return!$B:$P,MATCH(M$2,[1]Burgiss_Return!$B$5:$P$5,0),0)</f>
        <v>3.4299999999999997E-2</v>
      </c>
      <c r="N45" s="2">
        <v>2.1250000000000002E-3</v>
      </c>
      <c r="O45" s="2"/>
      <c r="P45" s="2"/>
      <c r="Q45" s="2">
        <v>-7.8864089278597005E-2</v>
      </c>
      <c r="R45" s="2">
        <f>VLOOKUP($A45,[1]Burgiss_Return!$B:$P,MATCH(R$2,[1]Burgiss_Return!$B$5:$P$5,0),0)</f>
        <v>-1.9E-3</v>
      </c>
      <c r="S45" s="2">
        <f>VLOOKUP($A45,[1]Burgiss_Return!$B:$P,MATCH(S$2,[1]Burgiss_Return!$B$5:$P$5,0),0)</f>
        <v>-1.9E-3</v>
      </c>
      <c r="T45" s="2">
        <f>VLOOKUP($A45,[1]Burgiss_Return!$B:$P,MATCH(T$2,[1]Burgiss_Return!$B$5:$P$5,0),0)</f>
        <v>-1.9E-3</v>
      </c>
      <c r="U45" s="2">
        <f>VLOOKUP($A45,[1]Burgiss_Return!$B:$P,MATCH(U$2,[1]Burgiss_Return!$B$5:$P$5,0),0)</f>
        <v>-1.9E-3</v>
      </c>
      <c r="V45" s="2">
        <v>4.3665059535976214E-2</v>
      </c>
    </row>
    <row r="46" spans="1:22" x14ac:dyDescent="0.2">
      <c r="A46" s="3">
        <v>40451</v>
      </c>
      <c r="B46" s="2">
        <f>VLOOKUP($A46,[1]Burgiss_Return!$B:$P,MATCH(B$2,[1]Burgiss_Return!$B$5:$P$5,0),0)</f>
        <v>6.8900000000000003E-2</v>
      </c>
      <c r="C46" s="2">
        <f>VLOOKUP($A46,[1]Burgiss_Return!$B:$P,MATCH(C$2,[1]Burgiss_Return!$B$5:$P$5,0),0)</f>
        <v>4.0800000000000003E-2</v>
      </c>
      <c r="D46" s="2">
        <f>VLOOKUP($A46,[1]Burgiss_Return!$B:$P,MATCH(D$2,[1]Burgiss_Return!$B$5:$P$5,0),0)</f>
        <v>4.0800000000000003E-2</v>
      </c>
      <c r="E46" s="2">
        <f>VLOOKUP($A46,[1]Burgiss_Return!$B:$P,MATCH(E$2,[1]Burgiss_Return!$B$5:$P$5,0),0)</f>
        <v>6.13E-2</v>
      </c>
      <c r="F46" s="2">
        <f>VLOOKUP($A46,[1]Burgiss_Return!$B:$P,MATCH(F$2,[1]Burgiss_Return!$B$5:$P$5,0),0)</f>
        <v>6.6199999999999995E-2</v>
      </c>
      <c r="G46" s="2">
        <f>VLOOKUP($A46,[1]Burgiss_Return!$B:$P,MATCH(G$2,[1]Burgiss_Return!$B$5:$P$5,0),0)</f>
        <v>6.13E-2</v>
      </c>
      <c r="H46" s="2">
        <f>VLOOKUP($A46,[1]Burgiss_Return!$B:$P,MATCH(H$2,[1]Burgiss_Return!$B$5:$P$5,0),0)</f>
        <v>6.3799999999999996E-2</v>
      </c>
      <c r="I46" s="2">
        <f>VLOOKUP($A46,[1]Burgiss_Return!$B:$P,MATCH(I$2,[1]Burgiss_Return!$B$5:$P$5,0),0)</f>
        <v>5.0200000000000002E-2</v>
      </c>
      <c r="J46" s="2">
        <f>VLOOKUP($A46,[1]Burgiss_Return!$B:$P,MATCH(J$2,[1]Burgiss_Return!$B$5:$P$5,0),0)</f>
        <v>0.1076</v>
      </c>
      <c r="K46" s="2">
        <v>2.2504337472315283E-2</v>
      </c>
      <c r="L46" s="2">
        <v>9.2945E-2</v>
      </c>
      <c r="M46" s="2">
        <f>VLOOKUP($A46,[1]Burgiss_Return!$B:$P,MATCH(M$2,[1]Burgiss_Return!$B$5:$P$5,0),0)</f>
        <v>5.5899999999999998E-2</v>
      </c>
      <c r="N46" s="2">
        <v>9.2945E-2</v>
      </c>
      <c r="O46" s="2"/>
      <c r="P46" s="2"/>
      <c r="Q46" s="2">
        <v>0.18440762743766048</v>
      </c>
      <c r="R46" s="2">
        <f>VLOOKUP($A46,[1]Burgiss_Return!$B:$P,MATCH(R$2,[1]Burgiss_Return!$B$5:$P$5,0),0)</f>
        <v>8.7800000000000003E-2</v>
      </c>
      <c r="S46" s="2">
        <f>VLOOKUP($A46,[1]Burgiss_Return!$B:$P,MATCH(S$2,[1]Burgiss_Return!$B$5:$P$5,0),0)</f>
        <v>8.7800000000000003E-2</v>
      </c>
      <c r="T46" s="2">
        <f>VLOOKUP($A46,[1]Burgiss_Return!$B:$P,MATCH(T$2,[1]Burgiss_Return!$B$5:$P$5,0),0)</f>
        <v>8.7800000000000003E-2</v>
      </c>
      <c r="U46" s="2">
        <f>VLOOKUP($A46,[1]Burgiss_Return!$B:$P,MATCH(U$2,[1]Burgiss_Return!$B$5:$P$5,0),0)</f>
        <v>8.7800000000000003E-2</v>
      </c>
      <c r="V46" s="2">
        <v>4.2870226721145155E-2</v>
      </c>
    </row>
    <row r="47" spans="1:22" x14ac:dyDescent="0.2">
      <c r="A47" s="3">
        <v>40543</v>
      </c>
      <c r="B47" s="2">
        <f>VLOOKUP($A47,[1]Burgiss_Return!$B:$P,MATCH(B$2,[1]Burgiss_Return!$B$5:$P$5,0),0)</f>
        <v>7.5499999999999998E-2</v>
      </c>
      <c r="C47" s="2">
        <f>VLOOKUP($A47,[1]Burgiss_Return!$B:$P,MATCH(C$2,[1]Burgiss_Return!$B$5:$P$5,0),0)</f>
        <v>8.3599999999999994E-2</v>
      </c>
      <c r="D47" s="2">
        <f>VLOOKUP($A47,[1]Burgiss_Return!$B:$P,MATCH(D$2,[1]Burgiss_Return!$B$5:$P$5,0),0)</f>
        <v>8.3599999999999994E-2</v>
      </c>
      <c r="E47" s="2">
        <f>VLOOKUP($A47,[1]Burgiss_Return!$B:$P,MATCH(E$2,[1]Burgiss_Return!$B$5:$P$5,0),0)</f>
        <v>9.8500000000000004E-2</v>
      </c>
      <c r="F47" s="2">
        <f>VLOOKUP($A47,[1]Burgiss_Return!$B:$P,MATCH(F$2,[1]Burgiss_Return!$B$5:$P$5,0),0)</f>
        <v>7.4300000000000005E-2</v>
      </c>
      <c r="G47" s="2">
        <f>VLOOKUP($A47,[1]Burgiss_Return!$B:$P,MATCH(G$2,[1]Burgiss_Return!$B$5:$P$5,0),0)</f>
        <v>9.8500000000000004E-2</v>
      </c>
      <c r="H47" s="2">
        <f>VLOOKUP($A47,[1]Burgiss_Return!$B:$P,MATCH(H$2,[1]Burgiss_Return!$B$5:$P$5,0),0)</f>
        <v>4.2299999999999997E-2</v>
      </c>
      <c r="I47" s="2">
        <f>VLOOKUP($A47,[1]Burgiss_Return!$B:$P,MATCH(I$2,[1]Burgiss_Return!$B$5:$P$5,0),0)</f>
        <v>6.0900000000000003E-2</v>
      </c>
      <c r="J47" s="2">
        <f>VLOOKUP($A47,[1]Burgiss_Return!$B:$P,MATCH(J$2,[1]Burgiss_Return!$B$5:$P$5,0),0)</f>
        <v>0.1137</v>
      </c>
      <c r="K47" s="2">
        <v>2.5828556718766604E-2</v>
      </c>
      <c r="L47" s="2">
        <v>4.7570000000000001E-2</v>
      </c>
      <c r="M47" s="2">
        <f>VLOOKUP($A47,[1]Burgiss_Return!$B:$P,MATCH(M$2,[1]Burgiss_Return!$B$5:$P$5,0),0)</f>
        <v>8.4099999999999994E-2</v>
      </c>
      <c r="N47" s="2">
        <v>4.7570000000000001E-2</v>
      </c>
      <c r="O47" s="2"/>
      <c r="P47" s="2"/>
      <c r="Q47" s="2">
        <v>6.1512720471117666E-2</v>
      </c>
      <c r="R47" s="2">
        <f>VLOOKUP($A47,[1]Burgiss_Return!$B:$P,MATCH(R$2,[1]Burgiss_Return!$B$5:$P$5,0),0)</f>
        <v>1.6E-2</v>
      </c>
      <c r="S47" s="2">
        <f>VLOOKUP($A47,[1]Burgiss_Return!$B:$P,MATCH(S$2,[1]Burgiss_Return!$B$5:$P$5,0),0)</f>
        <v>1.6E-2</v>
      </c>
      <c r="T47" s="2">
        <f>VLOOKUP($A47,[1]Burgiss_Return!$B:$P,MATCH(T$2,[1]Burgiss_Return!$B$5:$P$5,0),0)</f>
        <v>1.6E-2</v>
      </c>
      <c r="U47" s="2">
        <f>VLOOKUP($A47,[1]Burgiss_Return!$B:$P,MATCH(U$2,[1]Burgiss_Return!$B$5:$P$5,0),0)</f>
        <v>1.6E-2</v>
      </c>
      <c r="V47" s="2">
        <v>-1.642475699331758E-2</v>
      </c>
    </row>
    <row r="48" spans="1:22" x14ac:dyDescent="0.2">
      <c r="A48" s="3">
        <v>40633</v>
      </c>
      <c r="B48" s="2">
        <f>VLOOKUP($A48,[1]Burgiss_Return!$B:$P,MATCH(B$2,[1]Burgiss_Return!$B$5:$P$5,0),0)</f>
        <v>6.25E-2</v>
      </c>
      <c r="C48" s="2">
        <f>VLOOKUP($A48,[1]Burgiss_Return!$B:$P,MATCH(C$2,[1]Burgiss_Return!$B$5:$P$5,0),0)</f>
        <v>3.4099999999999998E-2</v>
      </c>
      <c r="D48" s="2">
        <f>VLOOKUP($A48,[1]Burgiss_Return!$B:$P,MATCH(D$2,[1]Burgiss_Return!$B$5:$P$5,0),0)</f>
        <v>3.4099999999999998E-2</v>
      </c>
      <c r="E48" s="2">
        <f>VLOOKUP($A48,[1]Burgiss_Return!$B:$P,MATCH(E$2,[1]Burgiss_Return!$B$5:$P$5,0),0)</f>
        <v>4.2099999999999999E-2</v>
      </c>
      <c r="F48" s="2">
        <f>VLOOKUP($A48,[1]Burgiss_Return!$B:$P,MATCH(F$2,[1]Burgiss_Return!$B$5:$P$5,0),0)</f>
        <v>4.7899999999999998E-2</v>
      </c>
      <c r="G48" s="2">
        <f>VLOOKUP($A48,[1]Burgiss_Return!$B:$P,MATCH(G$2,[1]Burgiss_Return!$B$5:$P$5,0),0)</f>
        <v>4.2099999999999999E-2</v>
      </c>
      <c r="H48" s="2">
        <f>VLOOKUP($A48,[1]Burgiss_Return!$B:$P,MATCH(H$2,[1]Burgiss_Return!$B$5:$P$5,0),0)</f>
        <v>2.6100000000000002E-2</v>
      </c>
      <c r="I48" s="2">
        <f>VLOOKUP($A48,[1]Burgiss_Return!$B:$P,MATCH(I$2,[1]Burgiss_Return!$B$5:$P$5,0),0)</f>
        <v>5.0999999999999997E-2</v>
      </c>
      <c r="J48" s="2">
        <f>VLOOKUP($A48,[1]Burgiss_Return!$B:$P,MATCH(J$2,[1]Burgiss_Return!$B$5:$P$5,0),0)</f>
        <v>1.2999999999999999E-2</v>
      </c>
      <c r="K48" s="2">
        <v>1.0905276510864814E-2</v>
      </c>
      <c r="L48" s="2">
        <v>4.1148999999999998E-2</v>
      </c>
      <c r="M48" s="2">
        <f>VLOOKUP($A48,[1]Burgiss_Return!$B:$P,MATCH(M$2,[1]Burgiss_Return!$B$5:$P$5,0),0)</f>
        <v>4.9500000000000002E-2</v>
      </c>
      <c r="N48" s="2">
        <v>4.1148999999999998E-2</v>
      </c>
      <c r="O48" s="2"/>
      <c r="P48" s="2"/>
      <c r="Q48" s="2">
        <v>3.0433286299342832E-2</v>
      </c>
      <c r="R48" s="2">
        <f>VLOOKUP($A48,[1]Burgiss_Return!$B:$P,MATCH(R$2,[1]Burgiss_Return!$B$5:$P$5,0),0)</f>
        <v>5.8700000000000002E-2</v>
      </c>
      <c r="S48" s="2">
        <f>VLOOKUP($A48,[1]Burgiss_Return!$B:$P,MATCH(S$2,[1]Burgiss_Return!$B$5:$P$5,0),0)</f>
        <v>5.8700000000000002E-2</v>
      </c>
      <c r="T48" s="2">
        <f>VLOOKUP($A48,[1]Burgiss_Return!$B:$P,MATCH(T$2,[1]Burgiss_Return!$B$5:$P$5,0),0)</f>
        <v>5.8700000000000002E-2</v>
      </c>
      <c r="U48" s="2">
        <f>VLOOKUP($A48,[1]Burgiss_Return!$B:$P,MATCH(U$2,[1]Burgiss_Return!$B$5:$P$5,0),0)</f>
        <v>5.8700000000000002E-2</v>
      </c>
      <c r="V48" s="2">
        <v>1.1567277679244148E-2</v>
      </c>
    </row>
    <row r="49" spans="1:22" x14ac:dyDescent="0.2">
      <c r="A49" s="3">
        <v>40724</v>
      </c>
      <c r="B49" s="2">
        <f>VLOOKUP($A49,[1]Burgiss_Return!$B:$P,MATCH(B$2,[1]Burgiss_Return!$B$5:$P$5,0),0)</f>
        <v>5.6300000000000003E-2</v>
      </c>
      <c r="C49" s="2">
        <f>VLOOKUP($A49,[1]Burgiss_Return!$B:$P,MATCH(C$2,[1]Burgiss_Return!$B$5:$P$5,0),0)</f>
        <v>6.9699999999999998E-2</v>
      </c>
      <c r="D49" s="2">
        <f>VLOOKUP($A49,[1]Burgiss_Return!$B:$P,MATCH(D$2,[1]Burgiss_Return!$B$5:$P$5,0),0)</f>
        <v>6.9699999999999998E-2</v>
      </c>
      <c r="E49" s="2">
        <f>VLOOKUP($A49,[1]Burgiss_Return!$B:$P,MATCH(E$2,[1]Burgiss_Return!$B$5:$P$5,0),0)</f>
        <v>4.58E-2</v>
      </c>
      <c r="F49" s="2">
        <f>VLOOKUP($A49,[1]Burgiss_Return!$B:$P,MATCH(F$2,[1]Burgiss_Return!$B$5:$P$5,0),0)</f>
        <v>4.8899999999999999E-2</v>
      </c>
      <c r="G49" s="2">
        <f>VLOOKUP($A49,[1]Burgiss_Return!$B:$P,MATCH(G$2,[1]Burgiss_Return!$B$5:$P$5,0),0)</f>
        <v>4.58E-2</v>
      </c>
      <c r="H49" s="2">
        <f>VLOOKUP($A49,[1]Burgiss_Return!$B:$P,MATCH(H$2,[1]Burgiss_Return!$B$5:$P$5,0),0)</f>
        <v>8.9999999999999993E-3</v>
      </c>
      <c r="I49" s="2">
        <f>VLOOKUP($A49,[1]Burgiss_Return!$B:$P,MATCH(I$2,[1]Burgiss_Return!$B$5:$P$5,0),0)</f>
        <v>8.9999999999999993E-3</v>
      </c>
      <c r="J49" s="2">
        <f>VLOOKUP($A49,[1]Burgiss_Return!$B:$P,MATCH(J$2,[1]Burgiss_Return!$B$5:$P$5,0),0)</f>
        <v>1.3599999999999999E-2</v>
      </c>
      <c r="K49" s="2">
        <v>-7.7328523083847189E-3</v>
      </c>
      <c r="L49" s="2">
        <v>4.2770000000000002E-2</v>
      </c>
      <c r="M49" s="2">
        <f>VLOOKUP($A49,[1]Burgiss_Return!$B:$P,MATCH(M$2,[1]Burgiss_Return!$B$5:$P$5,0),0)</f>
        <v>5.1299999999999998E-2</v>
      </c>
      <c r="N49" s="2">
        <v>4.2770000000000002E-2</v>
      </c>
      <c r="O49" s="2"/>
      <c r="P49" s="2"/>
      <c r="Q49" s="2">
        <v>2.9420900228112945E-2</v>
      </c>
      <c r="R49" s="2">
        <f>VLOOKUP($A49,[1]Burgiss_Return!$B:$P,MATCH(R$2,[1]Burgiss_Return!$B$5:$P$5,0),0)</f>
        <v>3.1399999999999997E-2</v>
      </c>
      <c r="S49" s="2">
        <f>VLOOKUP($A49,[1]Burgiss_Return!$B:$P,MATCH(S$2,[1]Burgiss_Return!$B$5:$P$5,0),0)</f>
        <v>3.1399999999999997E-2</v>
      </c>
      <c r="T49" s="2">
        <f>VLOOKUP($A49,[1]Burgiss_Return!$B:$P,MATCH(T$2,[1]Burgiss_Return!$B$5:$P$5,0),0)</f>
        <v>3.1399999999999997E-2</v>
      </c>
      <c r="U49" s="2">
        <f>VLOOKUP($A49,[1]Burgiss_Return!$B:$P,MATCH(U$2,[1]Burgiss_Return!$B$5:$P$5,0),0)</f>
        <v>3.1399999999999997E-2</v>
      </c>
      <c r="V49" s="2">
        <v>2.8091124755274866E-2</v>
      </c>
    </row>
    <row r="50" spans="1:22" x14ac:dyDescent="0.2">
      <c r="A50" s="3">
        <v>40816</v>
      </c>
      <c r="B50" s="2">
        <f>VLOOKUP($A50,[1]Burgiss_Return!$B:$P,MATCH(B$2,[1]Burgiss_Return!$B$5:$P$5,0),0)</f>
        <v>-6.4199999999999993E-2</v>
      </c>
      <c r="C50" s="2">
        <f>VLOOKUP($A50,[1]Burgiss_Return!$B:$P,MATCH(C$2,[1]Burgiss_Return!$B$5:$P$5,0),0)</f>
        <v>-6.1000000000000004E-3</v>
      </c>
      <c r="D50" s="2">
        <f>VLOOKUP($A50,[1]Burgiss_Return!$B:$P,MATCH(D$2,[1]Burgiss_Return!$B$5:$P$5,0),0)</f>
        <v>-6.1000000000000004E-3</v>
      </c>
      <c r="E50" s="2">
        <f>VLOOKUP($A50,[1]Burgiss_Return!$B:$P,MATCH(E$2,[1]Burgiss_Return!$B$5:$P$5,0),0)</f>
        <v>1.15E-2</v>
      </c>
      <c r="F50" s="2">
        <f>VLOOKUP($A50,[1]Burgiss_Return!$B:$P,MATCH(F$2,[1]Burgiss_Return!$B$5:$P$5,0),0)</f>
        <v>-2.6599999999999999E-2</v>
      </c>
      <c r="G50" s="2">
        <f>VLOOKUP($A50,[1]Burgiss_Return!$B:$P,MATCH(G$2,[1]Burgiss_Return!$B$5:$P$5,0),0)</f>
        <v>1.15E-2</v>
      </c>
      <c r="H50" s="2">
        <f>VLOOKUP($A50,[1]Burgiss_Return!$B:$P,MATCH(H$2,[1]Burgiss_Return!$B$5:$P$5,0),0)</f>
        <v>-7.1800000000000003E-2</v>
      </c>
      <c r="I50" s="2">
        <f>VLOOKUP($A50,[1]Burgiss_Return!$B:$P,MATCH(I$2,[1]Burgiss_Return!$B$5:$P$5,0),0)</f>
        <v>-0.1002</v>
      </c>
      <c r="J50" s="2">
        <f>VLOOKUP($A50,[1]Burgiss_Return!$B:$P,MATCH(J$2,[1]Burgiss_Return!$B$5:$P$5,0),0)</f>
        <v>-7.0300000000000001E-2</v>
      </c>
      <c r="K50" s="2">
        <v>-3.9074655582468365E-2</v>
      </c>
      <c r="L50" s="2">
        <v>-8.0940000000000005E-3</v>
      </c>
      <c r="M50" s="2">
        <f>VLOOKUP($A50,[1]Burgiss_Return!$B:$P,MATCH(M$2,[1]Burgiss_Return!$B$5:$P$5,0),0)</f>
        <v>3.5000000000000001E-3</v>
      </c>
      <c r="N50" s="2">
        <v>-8.0940000000000005E-3</v>
      </c>
      <c r="O50" s="2"/>
      <c r="P50" s="2"/>
      <c r="Q50" s="2">
        <v>-0.17301166042657556</v>
      </c>
      <c r="R50" s="2">
        <f>VLOOKUP($A50,[1]Burgiss_Return!$B:$P,MATCH(R$2,[1]Burgiss_Return!$B$5:$P$5,0),0)</f>
        <v>-0.1074</v>
      </c>
      <c r="S50" s="2">
        <f>VLOOKUP($A50,[1]Burgiss_Return!$B:$P,MATCH(S$2,[1]Burgiss_Return!$B$5:$P$5,0),0)</f>
        <v>-0.1074</v>
      </c>
      <c r="T50" s="2">
        <f>VLOOKUP($A50,[1]Burgiss_Return!$B:$P,MATCH(T$2,[1]Burgiss_Return!$B$5:$P$5,0),0)</f>
        <v>-0.1074</v>
      </c>
      <c r="U50" s="2">
        <f>VLOOKUP($A50,[1]Burgiss_Return!$B:$P,MATCH(U$2,[1]Burgiss_Return!$B$5:$P$5,0),0)</f>
        <v>-0.1074</v>
      </c>
      <c r="V50" s="2">
        <v>5.4654349264060542E-2</v>
      </c>
    </row>
    <row r="51" spans="1:22" x14ac:dyDescent="0.2">
      <c r="A51" s="3">
        <v>40908</v>
      </c>
      <c r="B51" s="2">
        <f>VLOOKUP($A51,[1]Burgiss_Return!$B:$P,MATCH(B$2,[1]Burgiss_Return!$B$5:$P$5,0),0)</f>
        <v>3.5499999999999997E-2</v>
      </c>
      <c r="C51" s="2">
        <f>VLOOKUP($A51,[1]Burgiss_Return!$B:$P,MATCH(C$2,[1]Burgiss_Return!$B$5:$P$5,0),0)</f>
        <v>2.64E-2</v>
      </c>
      <c r="D51" s="2">
        <f>VLOOKUP($A51,[1]Burgiss_Return!$B:$P,MATCH(D$2,[1]Burgiss_Return!$B$5:$P$5,0),0)</f>
        <v>2.64E-2</v>
      </c>
      <c r="E51" s="2">
        <f>VLOOKUP($A51,[1]Burgiss_Return!$B:$P,MATCH(E$2,[1]Burgiss_Return!$B$5:$P$5,0),0)</f>
        <v>1.9699999999999999E-2</v>
      </c>
      <c r="F51" s="2">
        <f>VLOOKUP($A51,[1]Burgiss_Return!$B:$P,MATCH(F$2,[1]Burgiss_Return!$B$5:$P$5,0),0)</f>
        <v>1.32E-2</v>
      </c>
      <c r="G51" s="2">
        <f>VLOOKUP($A51,[1]Burgiss_Return!$B:$P,MATCH(G$2,[1]Burgiss_Return!$B$5:$P$5,0),0)</f>
        <v>1.9699999999999999E-2</v>
      </c>
      <c r="H51" s="2">
        <f>VLOOKUP($A51,[1]Burgiss_Return!$B:$P,MATCH(H$2,[1]Burgiss_Return!$B$5:$P$5,0),0)</f>
        <v>4.6300000000000001E-2</v>
      </c>
      <c r="I51" s="2">
        <f>VLOOKUP($A51,[1]Burgiss_Return!$B:$P,MATCH(I$2,[1]Burgiss_Return!$B$5:$P$5,0),0)</f>
        <v>3.5799999999999998E-2</v>
      </c>
      <c r="J51" s="2">
        <f>VLOOKUP($A51,[1]Burgiss_Return!$B:$P,MATCH(J$2,[1]Burgiss_Return!$B$5:$P$5,0),0)</f>
        <v>4.7000000000000002E-3</v>
      </c>
      <c r="K51" s="2">
        <v>5.8166589111219302E-4</v>
      </c>
      <c r="L51" s="2">
        <v>3.2948999999999999E-2</v>
      </c>
      <c r="M51" s="2">
        <f>VLOOKUP($A51,[1]Burgiss_Return!$B:$P,MATCH(M$2,[1]Burgiss_Return!$B$5:$P$5,0),0)</f>
        <v>3.7900000000000003E-2</v>
      </c>
      <c r="N51" s="2">
        <v>3.2948999999999999E-2</v>
      </c>
      <c r="O51" s="2"/>
      <c r="P51" s="2"/>
      <c r="Q51" s="2">
        <v>7.36300295022283E-2</v>
      </c>
      <c r="R51" s="2">
        <f>VLOOKUP($A51,[1]Burgiss_Return!$B:$P,MATCH(R$2,[1]Burgiss_Return!$B$5:$P$5,0),0)</f>
        <v>1.37E-2</v>
      </c>
      <c r="S51" s="2">
        <f>VLOOKUP($A51,[1]Burgiss_Return!$B:$P,MATCH(S$2,[1]Burgiss_Return!$B$5:$P$5,0),0)</f>
        <v>1.37E-2</v>
      </c>
      <c r="T51" s="2">
        <f>VLOOKUP($A51,[1]Burgiss_Return!$B:$P,MATCH(T$2,[1]Burgiss_Return!$B$5:$P$5,0),0)</f>
        <v>1.37E-2</v>
      </c>
      <c r="U51" s="2">
        <f>VLOOKUP($A51,[1]Burgiss_Return!$B:$P,MATCH(U$2,[1]Burgiss_Return!$B$5:$P$5,0),0)</f>
        <v>1.37E-2</v>
      </c>
      <c r="V51" s="2">
        <v>2.5498018167156689E-2</v>
      </c>
    </row>
    <row r="52" spans="1:22" x14ac:dyDescent="0.2">
      <c r="A52" s="3">
        <v>40999</v>
      </c>
      <c r="B52" s="2">
        <f>VLOOKUP($A52,[1]Burgiss_Return!$B:$P,MATCH(B$2,[1]Burgiss_Return!$B$5:$P$5,0),0)</f>
        <v>6.2399999999999997E-2</v>
      </c>
      <c r="C52" s="2">
        <f>VLOOKUP($A52,[1]Burgiss_Return!$B:$P,MATCH(C$2,[1]Burgiss_Return!$B$5:$P$5,0),0)</f>
        <v>5.0799999999999998E-2</v>
      </c>
      <c r="D52" s="2">
        <f>VLOOKUP($A52,[1]Burgiss_Return!$B:$P,MATCH(D$2,[1]Burgiss_Return!$B$5:$P$5,0),0)</f>
        <v>5.0799999999999998E-2</v>
      </c>
      <c r="E52" s="2">
        <f>VLOOKUP($A52,[1]Burgiss_Return!$B:$P,MATCH(E$2,[1]Burgiss_Return!$B$5:$P$5,0),0)</f>
        <v>2.6100000000000002E-2</v>
      </c>
      <c r="F52" s="2">
        <f>VLOOKUP($A52,[1]Burgiss_Return!$B:$P,MATCH(F$2,[1]Burgiss_Return!$B$5:$P$5,0),0)</f>
        <v>3.9E-2</v>
      </c>
      <c r="G52" s="2">
        <f>VLOOKUP($A52,[1]Burgiss_Return!$B:$P,MATCH(G$2,[1]Burgiss_Return!$B$5:$P$5,0),0)</f>
        <v>2.6100000000000002E-2</v>
      </c>
      <c r="H52" s="2">
        <f>VLOOKUP($A52,[1]Burgiss_Return!$B:$P,MATCH(H$2,[1]Burgiss_Return!$B$5:$P$5,0),0)</f>
        <v>5.8400000000000001E-2</v>
      </c>
      <c r="I52" s="2">
        <f>VLOOKUP($A52,[1]Burgiss_Return!$B:$P,MATCH(I$2,[1]Burgiss_Return!$B$5:$P$5,0),0)</f>
        <v>7.2599999999999998E-2</v>
      </c>
      <c r="J52" s="2">
        <f>VLOOKUP($A52,[1]Burgiss_Return!$B:$P,MATCH(J$2,[1]Burgiss_Return!$B$5:$P$5,0),0)</f>
        <v>4.9000000000000002E-2</v>
      </c>
      <c r="K52" s="2">
        <v>2.4743050572441527E-2</v>
      </c>
      <c r="L52" s="2">
        <v>3.0824000000000001E-2</v>
      </c>
      <c r="M52" s="2">
        <f>VLOOKUP($A52,[1]Burgiss_Return!$B:$P,MATCH(M$2,[1]Burgiss_Return!$B$5:$P$5,0),0)</f>
        <v>2.29E-2</v>
      </c>
      <c r="N52" s="2">
        <v>3.0824000000000001E-2</v>
      </c>
      <c r="O52" s="2">
        <v>7.2890000000000003E-3</v>
      </c>
      <c r="P52" s="2">
        <v>1.7165400000000001E-2</v>
      </c>
      <c r="Q52" s="2">
        <v>0.12897202408793285</v>
      </c>
      <c r="R52" s="2">
        <f>VLOOKUP($A52,[1]Burgiss_Return!$B:$P,MATCH(R$2,[1]Burgiss_Return!$B$5:$P$5,0),0)</f>
        <v>8.77E-2</v>
      </c>
      <c r="S52" s="2">
        <f>VLOOKUP($A52,[1]Burgiss_Return!$B:$P,MATCH(S$2,[1]Burgiss_Return!$B$5:$P$5,0),0)</f>
        <v>8.77E-2</v>
      </c>
      <c r="T52" s="2">
        <f>VLOOKUP($A52,[1]Burgiss_Return!$B:$P,MATCH(T$2,[1]Burgiss_Return!$B$5:$P$5,0),0)</f>
        <v>8.77E-2</v>
      </c>
      <c r="U52" s="2">
        <f>VLOOKUP($A52,[1]Burgiss_Return!$B:$P,MATCH(U$2,[1]Burgiss_Return!$B$5:$P$5,0),0)</f>
        <v>8.77E-2</v>
      </c>
      <c r="V52" s="2">
        <v>4.8578104405478939E-3</v>
      </c>
    </row>
    <row r="53" spans="1:22" x14ac:dyDescent="0.2">
      <c r="A53" s="3">
        <v>41090</v>
      </c>
      <c r="B53" s="2">
        <f>VLOOKUP($A53,[1]Burgiss_Return!$B:$P,MATCH(B$2,[1]Burgiss_Return!$B$5:$P$5,0),0)</f>
        <v>-2.7000000000000001E-3</v>
      </c>
      <c r="C53" s="2">
        <f>VLOOKUP($A53,[1]Burgiss_Return!$B:$P,MATCH(C$2,[1]Burgiss_Return!$B$5:$P$5,0),0)</f>
        <v>-1E-3</v>
      </c>
      <c r="D53" s="2">
        <f>VLOOKUP($A53,[1]Burgiss_Return!$B:$P,MATCH(D$2,[1]Burgiss_Return!$B$5:$P$5,0),0)</f>
        <v>-1E-3</v>
      </c>
      <c r="E53" s="2">
        <f>VLOOKUP($A53,[1]Burgiss_Return!$B:$P,MATCH(E$2,[1]Burgiss_Return!$B$5:$P$5,0),0)</f>
        <v>1.9599999999999999E-2</v>
      </c>
      <c r="F53" s="2">
        <f>VLOOKUP($A53,[1]Burgiss_Return!$B:$P,MATCH(F$2,[1]Burgiss_Return!$B$5:$P$5,0),0)</f>
        <v>4.0000000000000001E-3</v>
      </c>
      <c r="G53" s="2">
        <f>VLOOKUP($A53,[1]Burgiss_Return!$B:$P,MATCH(G$2,[1]Burgiss_Return!$B$5:$P$5,0),0)</f>
        <v>1.9599999999999999E-2</v>
      </c>
      <c r="H53" s="2">
        <f>VLOOKUP($A53,[1]Burgiss_Return!$B:$P,MATCH(H$2,[1]Burgiss_Return!$B$5:$P$5,0),0)</f>
        <v>4.0000000000000001E-3</v>
      </c>
      <c r="I53" s="2">
        <f>VLOOKUP($A53,[1]Burgiss_Return!$B:$P,MATCH(I$2,[1]Burgiss_Return!$B$5:$P$5,0),0)</f>
        <v>5.8999999999999999E-3</v>
      </c>
      <c r="J53" s="2">
        <f>VLOOKUP($A53,[1]Burgiss_Return!$B:$P,MATCH(J$2,[1]Burgiss_Return!$B$5:$P$5,0),0)</f>
        <v>-2.1600000000000001E-2</v>
      </c>
      <c r="K53" s="2">
        <v>-1.7289387505397991E-2</v>
      </c>
      <c r="L53" s="2">
        <v>9.0939999999999997E-3</v>
      </c>
      <c r="M53" s="2">
        <f>VLOOKUP($A53,[1]Burgiss_Return!$B:$P,MATCH(M$2,[1]Burgiss_Return!$B$5:$P$5,0),0)</f>
        <v>1.44E-2</v>
      </c>
      <c r="N53" s="2">
        <v>9.0939999999999997E-3</v>
      </c>
      <c r="O53" s="2">
        <v>7.4209999999999996E-3</v>
      </c>
      <c r="P53" s="2">
        <v>2.3141700000000001E-2</v>
      </c>
      <c r="Q53" s="2">
        <v>2.1177567250023399E-2</v>
      </c>
      <c r="R53" s="2">
        <f>VLOOKUP($A53,[1]Burgiss_Return!$B:$P,MATCH(R$2,[1]Burgiss_Return!$B$5:$P$5,0),0)</f>
        <v>-5.4999999999999997E-3</v>
      </c>
      <c r="S53" s="2">
        <f>VLOOKUP($A53,[1]Burgiss_Return!$B:$P,MATCH(S$2,[1]Burgiss_Return!$B$5:$P$5,0),0)</f>
        <v>-5.4999999999999997E-3</v>
      </c>
      <c r="T53" s="2">
        <f>VLOOKUP($A53,[1]Burgiss_Return!$B:$P,MATCH(T$2,[1]Burgiss_Return!$B$5:$P$5,0),0)</f>
        <v>-5.4999999999999997E-3</v>
      </c>
      <c r="U53" s="2">
        <f>VLOOKUP($A53,[1]Burgiss_Return!$B:$P,MATCH(U$2,[1]Burgiss_Return!$B$5:$P$5,0),0)</f>
        <v>-5.4999999999999997E-3</v>
      </c>
      <c r="V53" s="2">
        <v>3.4078770203061604E-2</v>
      </c>
    </row>
    <row r="54" spans="1:22" x14ac:dyDescent="0.2">
      <c r="A54" s="3">
        <v>41182</v>
      </c>
      <c r="B54" s="2">
        <f>VLOOKUP($A54,[1]Burgiss_Return!$B:$P,MATCH(B$2,[1]Burgiss_Return!$B$5:$P$5,0),0)</f>
        <v>3.6999999999999998E-2</v>
      </c>
      <c r="C54" s="2">
        <f>VLOOKUP($A54,[1]Burgiss_Return!$B:$P,MATCH(C$2,[1]Burgiss_Return!$B$5:$P$5,0),0)</f>
        <v>8.0000000000000002E-3</v>
      </c>
      <c r="D54" s="2">
        <f>VLOOKUP($A54,[1]Burgiss_Return!$B:$P,MATCH(D$2,[1]Burgiss_Return!$B$5:$P$5,0),0)</f>
        <v>8.0000000000000002E-3</v>
      </c>
      <c r="E54" s="2">
        <f>VLOOKUP($A54,[1]Burgiss_Return!$B:$P,MATCH(E$2,[1]Burgiss_Return!$B$5:$P$5,0),0)</f>
        <v>2.6700000000000002E-2</v>
      </c>
      <c r="F54" s="2">
        <f>VLOOKUP($A54,[1]Burgiss_Return!$B:$P,MATCH(F$2,[1]Burgiss_Return!$B$5:$P$5,0),0)</f>
        <v>2.0400000000000001E-2</v>
      </c>
      <c r="G54" s="2">
        <f>VLOOKUP($A54,[1]Burgiss_Return!$B:$P,MATCH(G$2,[1]Burgiss_Return!$B$5:$P$5,0),0)</f>
        <v>2.6700000000000002E-2</v>
      </c>
      <c r="H54" s="2">
        <f>VLOOKUP($A54,[1]Burgiss_Return!$B:$P,MATCH(H$2,[1]Burgiss_Return!$B$5:$P$5,0),0)</f>
        <v>6.4799999999999996E-2</v>
      </c>
      <c r="I54" s="2">
        <f>VLOOKUP($A54,[1]Burgiss_Return!$B:$P,MATCH(I$2,[1]Burgiss_Return!$B$5:$P$5,0),0)</f>
        <v>5.0700000000000002E-2</v>
      </c>
      <c r="J54" s="2">
        <f>VLOOKUP($A54,[1]Burgiss_Return!$B:$P,MATCH(J$2,[1]Burgiss_Return!$B$5:$P$5,0),0)</f>
        <v>3.5400000000000001E-2</v>
      </c>
      <c r="K54" s="2">
        <v>1.8153294429783751E-2</v>
      </c>
      <c r="L54" s="2">
        <v>2.7383000000000001E-2</v>
      </c>
      <c r="M54" s="2">
        <f>VLOOKUP($A54,[1]Burgiss_Return!$B:$P,MATCH(M$2,[1]Burgiss_Return!$B$5:$P$5,0),0)</f>
        <v>2.3800000000000002E-2</v>
      </c>
      <c r="N54" s="2">
        <v>2.7383000000000001E-2</v>
      </c>
      <c r="O54" s="2">
        <v>1.1528E-2</v>
      </c>
      <c r="P54" s="2">
        <v>1.7738799999999999E-2</v>
      </c>
      <c r="Q54" s="2">
        <v>5.5058288061565319E-2</v>
      </c>
      <c r="R54" s="2">
        <f>VLOOKUP($A54,[1]Burgiss_Return!$B:$P,MATCH(R$2,[1]Burgiss_Return!$B$5:$P$5,0),0)</f>
        <v>3.0599999999999999E-2</v>
      </c>
      <c r="S54" s="2">
        <f>VLOOKUP($A54,[1]Burgiss_Return!$B:$P,MATCH(S$2,[1]Burgiss_Return!$B$5:$P$5,0),0)</f>
        <v>3.0599999999999999E-2</v>
      </c>
      <c r="T54" s="2">
        <f>VLOOKUP($A54,[1]Burgiss_Return!$B:$P,MATCH(T$2,[1]Burgiss_Return!$B$5:$P$5,0),0)</f>
        <v>3.0599999999999999E-2</v>
      </c>
      <c r="U54" s="2">
        <f>VLOOKUP($A54,[1]Burgiss_Return!$B:$P,MATCH(U$2,[1]Burgiss_Return!$B$5:$P$5,0),0)</f>
        <v>3.0599999999999999E-2</v>
      </c>
      <c r="V54" s="2">
        <v>4.147687961254598E-2</v>
      </c>
    </row>
    <row r="55" spans="1:22" x14ac:dyDescent="0.2">
      <c r="A55" s="3">
        <v>41274</v>
      </c>
      <c r="B55" s="2">
        <f>VLOOKUP($A55,[1]Burgiss_Return!$B:$P,MATCH(B$2,[1]Burgiss_Return!$B$5:$P$5,0),0)</f>
        <v>4.48E-2</v>
      </c>
      <c r="C55" s="2">
        <f>VLOOKUP($A55,[1]Burgiss_Return!$B:$P,MATCH(C$2,[1]Burgiss_Return!$B$5:$P$5,0),0)</f>
        <v>3.1E-2</v>
      </c>
      <c r="D55" s="2">
        <f>VLOOKUP($A55,[1]Burgiss_Return!$B:$P,MATCH(D$2,[1]Burgiss_Return!$B$5:$P$5,0),0)</f>
        <v>3.1E-2</v>
      </c>
      <c r="E55" s="2">
        <f>VLOOKUP($A55,[1]Burgiss_Return!$B:$P,MATCH(E$2,[1]Burgiss_Return!$B$5:$P$5,0),0)</f>
        <v>4.7600000000000003E-2</v>
      </c>
      <c r="F55" s="2">
        <f>VLOOKUP($A55,[1]Burgiss_Return!$B:$P,MATCH(F$2,[1]Burgiss_Return!$B$5:$P$5,0),0)</f>
        <v>2.7199999999999998E-2</v>
      </c>
      <c r="G55" s="2">
        <f>VLOOKUP($A55,[1]Burgiss_Return!$B:$P,MATCH(G$2,[1]Burgiss_Return!$B$5:$P$5,0),0)</f>
        <v>4.7600000000000003E-2</v>
      </c>
      <c r="H55" s="2">
        <f>VLOOKUP($A55,[1]Burgiss_Return!$B:$P,MATCH(H$2,[1]Burgiss_Return!$B$5:$P$5,0),0)</f>
        <v>1.6299999999999999E-2</v>
      </c>
      <c r="I55" s="2">
        <f>VLOOKUP($A55,[1]Burgiss_Return!$B:$P,MATCH(I$2,[1]Burgiss_Return!$B$5:$P$5,0),0)</f>
        <v>2.76E-2</v>
      </c>
      <c r="J55" s="2">
        <f>VLOOKUP($A55,[1]Burgiss_Return!$B:$P,MATCH(J$2,[1]Burgiss_Return!$B$5:$P$5,0),0)</f>
        <v>5.2600000000000001E-2</v>
      </c>
      <c r="K55" s="2">
        <v>1.6433410021247985E-2</v>
      </c>
      <c r="L55" s="2">
        <v>1.8905999999999999E-2</v>
      </c>
      <c r="M55" s="2">
        <f>VLOOKUP($A55,[1]Burgiss_Return!$B:$P,MATCH(M$2,[1]Burgiss_Return!$B$5:$P$5,0),0)</f>
        <v>3.6999999999999998E-2</v>
      </c>
      <c r="N55" s="2">
        <v>1.8905999999999999E-2</v>
      </c>
      <c r="O55" s="2">
        <v>1.9803000000000001E-2</v>
      </c>
      <c r="P55" s="2">
        <v>2.5990300000000001E-2</v>
      </c>
      <c r="Q55" s="2">
        <v>5.7670643158201473E-2</v>
      </c>
      <c r="R55" s="2">
        <f>VLOOKUP($A55,[1]Burgiss_Return!$B:$P,MATCH(R$2,[1]Burgiss_Return!$B$5:$P$5,0),0)</f>
        <v>5.4999999999999997E-3</v>
      </c>
      <c r="S55" s="2">
        <f>VLOOKUP($A55,[1]Burgiss_Return!$B:$P,MATCH(S$2,[1]Burgiss_Return!$B$5:$P$5,0),0)</f>
        <v>5.4999999999999997E-3</v>
      </c>
      <c r="T55" s="2">
        <f>VLOOKUP($A55,[1]Burgiss_Return!$B:$P,MATCH(T$2,[1]Burgiss_Return!$B$5:$P$5,0),0)</f>
        <v>5.4999999999999997E-3</v>
      </c>
      <c r="U55" s="2">
        <f>VLOOKUP($A55,[1]Burgiss_Return!$B:$P,MATCH(U$2,[1]Burgiss_Return!$B$5:$P$5,0),0)</f>
        <v>5.4999999999999997E-3</v>
      </c>
      <c r="V55" s="2">
        <v>1.1544231229090984E-2</v>
      </c>
    </row>
    <row r="56" spans="1:22" x14ac:dyDescent="0.2">
      <c r="A56" s="3">
        <v>41364</v>
      </c>
      <c r="B56" s="2">
        <f>VLOOKUP($A56,[1]Burgiss_Return!$B:$P,MATCH(B$2,[1]Burgiss_Return!$B$5:$P$5,0),0)</f>
        <v>3.0200000000000001E-2</v>
      </c>
      <c r="C56" s="2">
        <f>VLOOKUP($A56,[1]Burgiss_Return!$B:$P,MATCH(C$2,[1]Burgiss_Return!$B$5:$P$5,0),0)</f>
        <v>3.73E-2</v>
      </c>
      <c r="D56" s="2">
        <f>VLOOKUP($A56,[1]Burgiss_Return!$B:$P,MATCH(D$2,[1]Burgiss_Return!$B$5:$P$5,0),0)</f>
        <v>3.73E-2</v>
      </c>
      <c r="E56" s="2">
        <f>VLOOKUP($A56,[1]Burgiss_Return!$B:$P,MATCH(E$2,[1]Burgiss_Return!$B$5:$P$5,0),0)</f>
        <v>9.2999999999999992E-3</v>
      </c>
      <c r="F56" s="2">
        <f>VLOOKUP($A56,[1]Burgiss_Return!$B:$P,MATCH(F$2,[1]Burgiss_Return!$B$5:$P$5,0),0)</f>
        <v>1.5699999999999999E-2</v>
      </c>
      <c r="G56" s="2">
        <f>VLOOKUP($A56,[1]Burgiss_Return!$B:$P,MATCH(G$2,[1]Burgiss_Return!$B$5:$P$5,0),0)</f>
        <v>9.2999999999999992E-3</v>
      </c>
      <c r="H56" s="2">
        <f>VLOOKUP($A56,[1]Burgiss_Return!$B:$P,MATCH(H$2,[1]Burgiss_Return!$B$5:$P$5,0),0)</f>
        <v>7.6E-3</v>
      </c>
      <c r="I56" s="2">
        <f>VLOOKUP($A56,[1]Burgiss_Return!$B:$P,MATCH(I$2,[1]Burgiss_Return!$B$5:$P$5,0),0)</f>
        <v>5.4600000000000003E-2</v>
      </c>
      <c r="J56" s="2">
        <f>VLOOKUP($A56,[1]Burgiss_Return!$B:$P,MATCH(J$2,[1]Burgiss_Return!$B$5:$P$5,0),0)</f>
        <v>3.4599999999999999E-2</v>
      </c>
      <c r="K56" s="2">
        <v>2.7713703047598237E-2</v>
      </c>
      <c r="L56" s="2">
        <v>8.9239999999999996E-3</v>
      </c>
      <c r="M56" s="2">
        <f>VLOOKUP($A56,[1]Burgiss_Return!$B:$P,MATCH(M$2,[1]Burgiss_Return!$B$5:$P$5,0),0)</f>
        <v>2.18E-2</v>
      </c>
      <c r="N56" s="2">
        <v>8.9239999999999996E-3</v>
      </c>
      <c r="O56" s="2">
        <v>1.8124999999999999E-2</v>
      </c>
      <c r="P56" s="2">
        <v>2.5824099999999999E-2</v>
      </c>
      <c r="Q56" s="2">
        <v>6.2609708296645694E-2</v>
      </c>
      <c r="R56" s="2">
        <f>VLOOKUP($A56,[1]Burgiss_Return!$B:$P,MATCH(R$2,[1]Burgiss_Return!$B$5:$P$5,0),0)</f>
        <v>-1.6299999999999999E-2</v>
      </c>
      <c r="S56" s="2">
        <f>VLOOKUP($A56,[1]Burgiss_Return!$B:$P,MATCH(S$2,[1]Burgiss_Return!$B$5:$P$5,0),0)</f>
        <v>-1.6299999999999999E-2</v>
      </c>
      <c r="T56" s="2">
        <f>VLOOKUP($A56,[1]Burgiss_Return!$B:$P,MATCH(T$2,[1]Burgiss_Return!$B$5:$P$5,0),0)</f>
        <v>-1.6299999999999999E-2</v>
      </c>
      <c r="U56" s="2">
        <f>VLOOKUP($A56,[1]Burgiss_Return!$B:$P,MATCH(U$2,[1]Burgiss_Return!$B$5:$P$5,0),0)</f>
        <v>-1.6299999999999999E-2</v>
      </c>
      <c r="V56" s="2">
        <v>-3.593100213822531E-3</v>
      </c>
    </row>
    <row r="57" spans="1:22" x14ac:dyDescent="0.2">
      <c r="A57" s="3">
        <v>41455</v>
      </c>
      <c r="B57" s="2">
        <f>VLOOKUP($A57,[1]Burgiss_Return!$B:$P,MATCH(B$2,[1]Burgiss_Return!$B$5:$P$5,0),0)</f>
        <v>3.5099999999999999E-2</v>
      </c>
      <c r="C57" s="2">
        <f>VLOOKUP($A57,[1]Burgiss_Return!$B:$P,MATCH(C$2,[1]Burgiss_Return!$B$5:$P$5,0),0)</f>
        <v>4.8399999999999999E-2</v>
      </c>
      <c r="D57" s="2">
        <f>VLOOKUP($A57,[1]Burgiss_Return!$B:$P,MATCH(D$2,[1]Burgiss_Return!$B$5:$P$5,0),0)</f>
        <v>4.8399999999999999E-2</v>
      </c>
      <c r="E57" s="2">
        <f>VLOOKUP($A57,[1]Burgiss_Return!$B:$P,MATCH(E$2,[1]Burgiss_Return!$B$5:$P$5,0),0)</f>
        <v>2.29E-2</v>
      </c>
      <c r="F57" s="2">
        <f>VLOOKUP($A57,[1]Burgiss_Return!$B:$P,MATCH(F$2,[1]Burgiss_Return!$B$5:$P$5,0),0)</f>
        <v>1.9599999999999999E-2</v>
      </c>
      <c r="G57" s="2">
        <f>VLOOKUP($A57,[1]Burgiss_Return!$B:$P,MATCH(G$2,[1]Burgiss_Return!$B$5:$P$5,0),0)</f>
        <v>2.29E-2</v>
      </c>
      <c r="H57" s="2">
        <f>VLOOKUP($A57,[1]Burgiss_Return!$B:$P,MATCH(H$2,[1]Burgiss_Return!$B$5:$P$5,0),0)</f>
        <v>3.3999999999999998E-3</v>
      </c>
      <c r="I57" s="2">
        <f>VLOOKUP($A57,[1]Burgiss_Return!$B:$P,MATCH(I$2,[1]Burgiss_Return!$B$5:$P$5,0),0)</f>
        <v>2.76E-2</v>
      </c>
      <c r="J57" s="2">
        <f>VLOOKUP($A57,[1]Burgiss_Return!$B:$P,MATCH(J$2,[1]Burgiss_Return!$B$5:$P$5,0),0)</f>
        <v>-1.52E-2</v>
      </c>
      <c r="K57" s="2">
        <v>8.0896704570532219E-3</v>
      </c>
      <c r="L57" s="2">
        <v>8.1300000000000003E-4</v>
      </c>
      <c r="M57" s="2">
        <f>VLOOKUP($A57,[1]Burgiss_Return!$B:$P,MATCH(M$2,[1]Burgiss_Return!$B$5:$P$5,0),0)</f>
        <v>3.4099999999999998E-2</v>
      </c>
      <c r="N57" s="2">
        <v>8.1300000000000003E-4</v>
      </c>
      <c r="O57" s="2">
        <v>-1.201E-2</v>
      </c>
      <c r="P57" s="2">
        <v>1.9364200000000002E-2</v>
      </c>
      <c r="Q57" s="2">
        <v>-3.6299994921320522E-2</v>
      </c>
      <c r="R57" s="2">
        <f>VLOOKUP($A57,[1]Burgiss_Return!$B:$P,MATCH(R$2,[1]Burgiss_Return!$B$5:$P$5,0),0)</f>
        <v>3.2099999999999997E-2</v>
      </c>
      <c r="S57" s="2">
        <f>VLOOKUP($A57,[1]Burgiss_Return!$B:$P,MATCH(S$2,[1]Burgiss_Return!$B$5:$P$5,0),0)</f>
        <v>3.2099999999999997E-2</v>
      </c>
      <c r="T57" s="2">
        <f>VLOOKUP($A57,[1]Burgiss_Return!$B:$P,MATCH(T$2,[1]Burgiss_Return!$B$5:$P$5,0),0)</f>
        <v>3.2099999999999997E-2</v>
      </c>
      <c r="U57" s="2">
        <f>VLOOKUP($A57,[1]Burgiss_Return!$B:$P,MATCH(U$2,[1]Burgiss_Return!$B$5:$P$5,0),0)</f>
        <v>3.2099999999999997E-2</v>
      </c>
      <c r="V57" s="2">
        <v>-4.0117481023763224E-2</v>
      </c>
    </row>
    <row r="58" spans="1:22" x14ac:dyDescent="0.2">
      <c r="A58" s="3">
        <v>41547</v>
      </c>
      <c r="B58" s="2">
        <f>VLOOKUP($A58,[1]Burgiss_Return!$B:$P,MATCH(B$2,[1]Burgiss_Return!$B$5:$P$5,0),0)</f>
        <v>5.6599999999999998E-2</v>
      </c>
      <c r="C58" s="2">
        <f>VLOOKUP($A58,[1]Burgiss_Return!$B:$P,MATCH(C$2,[1]Burgiss_Return!$B$5:$P$5,0),0)</f>
        <v>8.6099999999999996E-2</v>
      </c>
      <c r="D58" s="2">
        <f>VLOOKUP($A58,[1]Burgiss_Return!$B:$P,MATCH(D$2,[1]Burgiss_Return!$B$5:$P$5,0),0)</f>
        <v>8.6099999999999996E-2</v>
      </c>
      <c r="E58" s="2">
        <f>VLOOKUP($A58,[1]Burgiss_Return!$B:$P,MATCH(E$2,[1]Burgiss_Return!$B$5:$P$5,0),0)</f>
        <v>3.73E-2</v>
      </c>
      <c r="F58" s="2">
        <f>VLOOKUP($A58,[1]Burgiss_Return!$B:$P,MATCH(F$2,[1]Burgiss_Return!$B$5:$P$5,0),0)</f>
        <v>4.4600000000000001E-2</v>
      </c>
      <c r="G58" s="2">
        <f>VLOOKUP($A58,[1]Burgiss_Return!$B:$P,MATCH(G$2,[1]Burgiss_Return!$B$5:$P$5,0),0)</f>
        <v>3.73E-2</v>
      </c>
      <c r="H58" s="2">
        <f>VLOOKUP($A58,[1]Burgiss_Return!$B:$P,MATCH(H$2,[1]Burgiss_Return!$B$5:$P$5,0),0)</f>
        <v>4.0599999999999997E-2</v>
      </c>
      <c r="I58" s="2">
        <f>VLOOKUP($A58,[1]Burgiss_Return!$B:$P,MATCH(I$2,[1]Burgiss_Return!$B$5:$P$5,0),0)</f>
        <v>3.44E-2</v>
      </c>
      <c r="J58" s="2">
        <f>VLOOKUP($A58,[1]Burgiss_Return!$B:$P,MATCH(J$2,[1]Burgiss_Return!$B$5:$P$5,0),0)</f>
        <v>3.4500000000000003E-2</v>
      </c>
      <c r="K58" s="2">
        <v>1.2347488662454165E-2</v>
      </c>
      <c r="L58" s="2">
        <v>4.5817999999999998E-2</v>
      </c>
      <c r="M58" s="2">
        <f>VLOOKUP($A58,[1]Burgiss_Return!$B:$P,MATCH(M$2,[1]Burgiss_Return!$B$5:$P$5,0),0)</f>
        <v>3.4299999999999997E-2</v>
      </c>
      <c r="N58" s="2">
        <v>4.5817999999999998E-2</v>
      </c>
      <c r="O58" s="2">
        <v>1.5674E-2</v>
      </c>
      <c r="P58" s="2">
        <v>4.7013999999999997E-3</v>
      </c>
      <c r="Q58" s="2">
        <v>2.4399451145485473E-2</v>
      </c>
      <c r="R58" s="2">
        <f>VLOOKUP($A58,[1]Burgiss_Return!$B:$P,MATCH(R$2,[1]Burgiss_Return!$B$5:$P$5,0),0)</f>
        <v>5.28E-2</v>
      </c>
      <c r="S58" s="2">
        <f>VLOOKUP($A58,[1]Burgiss_Return!$B:$P,MATCH(S$2,[1]Burgiss_Return!$B$5:$P$5,0),0)</f>
        <v>5.28E-2</v>
      </c>
      <c r="T58" s="2">
        <f>VLOOKUP($A58,[1]Burgiss_Return!$B:$P,MATCH(T$2,[1]Burgiss_Return!$B$5:$P$5,0),0)</f>
        <v>5.28E-2</v>
      </c>
      <c r="U58" s="2">
        <f>VLOOKUP($A58,[1]Burgiss_Return!$B:$P,MATCH(U$2,[1]Burgiss_Return!$B$5:$P$5,0),0)</f>
        <v>5.28E-2</v>
      </c>
      <c r="V58" s="2">
        <v>3.703521206235294E-4</v>
      </c>
    </row>
    <row r="59" spans="1:22" x14ac:dyDescent="0.2">
      <c r="A59" s="3">
        <v>41639</v>
      </c>
      <c r="B59" s="2">
        <f>VLOOKUP($A59,[1]Burgiss_Return!$B:$P,MATCH(B$2,[1]Burgiss_Return!$B$5:$P$5,0),0)</f>
        <v>7.17E-2</v>
      </c>
      <c r="C59" s="2">
        <f>VLOOKUP($A59,[1]Burgiss_Return!$B:$P,MATCH(C$2,[1]Burgiss_Return!$B$5:$P$5,0),0)</f>
        <v>9.9299999999999999E-2</v>
      </c>
      <c r="D59" s="2">
        <f>VLOOKUP($A59,[1]Burgiss_Return!$B:$P,MATCH(D$2,[1]Burgiss_Return!$B$5:$P$5,0),0)</f>
        <v>9.9299999999999999E-2</v>
      </c>
      <c r="E59" s="2">
        <f>VLOOKUP($A59,[1]Burgiss_Return!$B:$P,MATCH(E$2,[1]Burgiss_Return!$B$5:$P$5,0),0)</f>
        <v>7.4200000000000002E-2</v>
      </c>
      <c r="F59" s="2">
        <f>VLOOKUP($A59,[1]Burgiss_Return!$B:$P,MATCH(F$2,[1]Burgiss_Return!$B$5:$P$5,0),0)</f>
        <v>7.2400000000000006E-2</v>
      </c>
      <c r="G59" s="2">
        <f>VLOOKUP($A59,[1]Burgiss_Return!$B:$P,MATCH(G$2,[1]Burgiss_Return!$B$5:$P$5,0),0)</f>
        <v>7.4200000000000002E-2</v>
      </c>
      <c r="H59" s="2">
        <f>VLOOKUP($A59,[1]Burgiss_Return!$B:$P,MATCH(H$2,[1]Burgiss_Return!$B$5:$P$5,0),0)</f>
        <v>2.8500000000000001E-2</v>
      </c>
      <c r="I59" s="2">
        <f>VLOOKUP($A59,[1]Burgiss_Return!$B:$P,MATCH(I$2,[1]Burgiss_Return!$B$5:$P$5,0),0)</f>
        <v>4.5100000000000001E-2</v>
      </c>
      <c r="J59" s="2">
        <f>VLOOKUP($A59,[1]Burgiss_Return!$B:$P,MATCH(J$2,[1]Burgiss_Return!$B$5:$P$5,0),0)</f>
        <v>9.4899999999999998E-2</v>
      </c>
      <c r="K59" s="2">
        <v>2.6833715310985662E-2</v>
      </c>
      <c r="L59" s="2">
        <v>2.4718E-2</v>
      </c>
      <c r="M59" s="2">
        <f>VLOOKUP($A59,[1]Burgiss_Return!$B:$P,MATCH(M$2,[1]Burgiss_Return!$B$5:$P$5,0),0)</f>
        <v>7.2700000000000001E-2</v>
      </c>
      <c r="N59" s="2">
        <v>2.4718E-2</v>
      </c>
      <c r="O59" s="2">
        <v>6.9249999999999997E-3</v>
      </c>
      <c r="P59" s="2">
        <v>3.4450500000000002E-2</v>
      </c>
      <c r="Q59" s="2">
        <v>-4.8931915809595772E-3</v>
      </c>
      <c r="R59" s="2">
        <f>VLOOKUP($A59,[1]Burgiss_Return!$B:$P,MATCH(R$2,[1]Burgiss_Return!$B$5:$P$5,0),0)</f>
        <v>4.41E-2</v>
      </c>
      <c r="S59" s="2">
        <f>VLOOKUP($A59,[1]Burgiss_Return!$B:$P,MATCH(S$2,[1]Burgiss_Return!$B$5:$P$5,0),0)</f>
        <v>4.41E-2</v>
      </c>
      <c r="T59" s="2">
        <f>VLOOKUP($A59,[1]Burgiss_Return!$B:$P,MATCH(T$2,[1]Burgiss_Return!$B$5:$P$5,0),0)</f>
        <v>4.41E-2</v>
      </c>
      <c r="U59" s="2">
        <f>VLOOKUP($A59,[1]Burgiss_Return!$B:$P,MATCH(U$2,[1]Burgiss_Return!$B$5:$P$5,0),0)</f>
        <v>4.41E-2</v>
      </c>
      <c r="V59" s="2">
        <v>1.5046936272173239E-2</v>
      </c>
    </row>
    <row r="60" spans="1:22" x14ac:dyDescent="0.2">
      <c r="A60" s="3">
        <v>41729</v>
      </c>
      <c r="B60" s="2">
        <f>VLOOKUP($A60,[1]Burgiss_Return!$B:$P,MATCH(B$2,[1]Burgiss_Return!$B$5:$P$5,0),0)</f>
        <v>3.39E-2</v>
      </c>
      <c r="C60" s="2">
        <f>VLOOKUP($A60,[1]Burgiss_Return!$B:$P,MATCH(C$2,[1]Burgiss_Return!$B$5:$P$5,0),0)</f>
        <v>3.5900000000000001E-2</v>
      </c>
      <c r="D60" s="2">
        <f>VLOOKUP($A60,[1]Burgiss_Return!$B:$P,MATCH(D$2,[1]Burgiss_Return!$B$5:$P$5,0),0)</f>
        <v>3.5900000000000001E-2</v>
      </c>
      <c r="E60" s="2">
        <f>VLOOKUP($A60,[1]Burgiss_Return!$B:$P,MATCH(E$2,[1]Burgiss_Return!$B$5:$P$5,0),0)</f>
        <v>2.12E-2</v>
      </c>
      <c r="F60" s="2">
        <f>VLOOKUP($A60,[1]Burgiss_Return!$B:$P,MATCH(F$2,[1]Burgiss_Return!$B$5:$P$5,0),0)</f>
        <v>2.9899999999999999E-2</v>
      </c>
      <c r="G60" s="2">
        <f>VLOOKUP($A60,[1]Burgiss_Return!$B:$P,MATCH(G$2,[1]Burgiss_Return!$B$5:$P$5,0),0)</f>
        <v>2.12E-2</v>
      </c>
      <c r="H60" s="2">
        <f>VLOOKUP($A60,[1]Burgiss_Return!$B:$P,MATCH(H$2,[1]Burgiss_Return!$B$5:$P$5,0),0)</f>
        <v>2.93E-2</v>
      </c>
      <c r="I60" s="2">
        <f>VLOOKUP($A60,[1]Burgiss_Return!$B:$P,MATCH(I$2,[1]Burgiss_Return!$B$5:$P$5,0),0)</f>
        <v>3.3700000000000001E-2</v>
      </c>
      <c r="J60" s="2">
        <f>VLOOKUP($A60,[1]Burgiss_Return!$B:$P,MATCH(J$2,[1]Burgiss_Return!$B$5:$P$5,0),0)</f>
        <v>3.39E-2</v>
      </c>
      <c r="K60" s="2">
        <v>1.3043424690165839E-2</v>
      </c>
      <c r="L60" s="2">
        <v>3.2529000000000002E-2</v>
      </c>
      <c r="M60" s="2">
        <f>VLOOKUP($A60,[1]Burgiss_Return!$B:$P,MATCH(M$2,[1]Burgiss_Return!$B$5:$P$5,0),0)</f>
        <v>2.4899999999999999E-2</v>
      </c>
      <c r="N60" s="2">
        <v>3.2529000000000002E-2</v>
      </c>
      <c r="O60" s="2">
        <v>2.1222000000000001E-2</v>
      </c>
      <c r="P60" s="2">
        <v>2.50983E-2</v>
      </c>
      <c r="Q60" s="2">
        <v>4.0144230703824002E-2</v>
      </c>
      <c r="R60" s="2">
        <f>VLOOKUP($A60,[1]Burgiss_Return!$B:$P,MATCH(R$2,[1]Burgiss_Return!$B$5:$P$5,0),0)</f>
        <v>3.4599999999999999E-2</v>
      </c>
      <c r="S60" s="2">
        <f>VLOOKUP($A60,[1]Burgiss_Return!$B:$P,MATCH(S$2,[1]Burgiss_Return!$B$5:$P$5,0),0)</f>
        <v>3.4599999999999999E-2</v>
      </c>
      <c r="T60" s="2">
        <f>VLOOKUP($A60,[1]Burgiss_Return!$B:$P,MATCH(T$2,[1]Burgiss_Return!$B$5:$P$5,0),0)</f>
        <v>3.4599999999999999E-2</v>
      </c>
      <c r="U60" s="2">
        <f>VLOOKUP($A60,[1]Burgiss_Return!$B:$P,MATCH(U$2,[1]Burgiss_Return!$B$5:$P$5,0),0)</f>
        <v>3.4599999999999999E-2</v>
      </c>
      <c r="V60" s="2">
        <v>3.9413212195969605E-2</v>
      </c>
    </row>
    <row r="61" spans="1:22" x14ac:dyDescent="0.2">
      <c r="A61" s="3">
        <v>41820</v>
      </c>
      <c r="B61" s="2">
        <f>VLOOKUP($A61,[1]Burgiss_Return!$B:$P,MATCH(B$2,[1]Burgiss_Return!$B$5:$P$5,0),0)</f>
        <v>4.8800000000000003E-2</v>
      </c>
      <c r="C61" s="2">
        <f>VLOOKUP($A61,[1]Burgiss_Return!$B:$P,MATCH(C$2,[1]Burgiss_Return!$B$5:$P$5,0),0)</f>
        <v>3.7699999999999997E-2</v>
      </c>
      <c r="D61" s="2">
        <f>VLOOKUP($A61,[1]Burgiss_Return!$B:$P,MATCH(D$2,[1]Burgiss_Return!$B$5:$P$5,0),0)</f>
        <v>3.7699999999999997E-2</v>
      </c>
      <c r="E61" s="2">
        <f>VLOOKUP($A61,[1]Burgiss_Return!$B:$P,MATCH(E$2,[1]Burgiss_Return!$B$5:$P$5,0),0)</f>
        <v>3.8600000000000002E-2</v>
      </c>
      <c r="F61" s="2">
        <f>VLOOKUP($A61,[1]Burgiss_Return!$B:$P,MATCH(F$2,[1]Burgiss_Return!$B$5:$P$5,0),0)</f>
        <v>4.8599999999999997E-2</v>
      </c>
      <c r="G61" s="2">
        <f>VLOOKUP($A61,[1]Burgiss_Return!$B:$P,MATCH(G$2,[1]Burgiss_Return!$B$5:$P$5,0),0)</f>
        <v>3.8600000000000002E-2</v>
      </c>
      <c r="H61" s="2">
        <f>VLOOKUP($A61,[1]Burgiss_Return!$B:$P,MATCH(H$2,[1]Burgiss_Return!$B$5:$P$5,0),0)</f>
        <v>2.0799999999999999E-2</v>
      </c>
      <c r="I61" s="2">
        <f>VLOOKUP($A61,[1]Burgiss_Return!$B:$P,MATCH(I$2,[1]Burgiss_Return!$B$5:$P$5,0),0)</f>
        <v>3.3799999999999997E-2</v>
      </c>
      <c r="J61" s="2">
        <f>VLOOKUP($A61,[1]Burgiss_Return!$B:$P,MATCH(J$2,[1]Burgiss_Return!$B$5:$P$5,0),0)</f>
        <v>4.3700000000000003E-2</v>
      </c>
      <c r="K61" s="2">
        <v>1.3036976841246162E-2</v>
      </c>
      <c r="L61" s="2">
        <v>3.7198000000000002E-2</v>
      </c>
      <c r="M61" s="2">
        <f>VLOOKUP($A61,[1]Burgiss_Return!$B:$P,MATCH(M$2,[1]Burgiss_Return!$B$5:$P$5,0),0)</f>
        <v>4.2000000000000003E-2</v>
      </c>
      <c r="N61" s="2">
        <v>3.7198000000000002E-2</v>
      </c>
      <c r="O61" s="2">
        <v>1.8332000000000001E-2</v>
      </c>
      <c r="P61" s="2">
        <v>1.18294E-2</v>
      </c>
      <c r="Q61" s="2">
        <v>7.8758761335390393E-2</v>
      </c>
      <c r="R61" s="2">
        <f>VLOOKUP($A61,[1]Burgiss_Return!$B:$P,MATCH(R$2,[1]Burgiss_Return!$B$5:$P$5,0),0)</f>
        <v>2.0799999999999999E-2</v>
      </c>
      <c r="S61" s="2">
        <f>VLOOKUP($A61,[1]Burgiss_Return!$B:$P,MATCH(S$2,[1]Burgiss_Return!$B$5:$P$5,0),0)</f>
        <v>2.0799999999999999E-2</v>
      </c>
      <c r="T61" s="2">
        <f>VLOOKUP($A61,[1]Burgiss_Return!$B:$P,MATCH(T$2,[1]Burgiss_Return!$B$5:$P$5,0),0)</f>
        <v>2.0799999999999999E-2</v>
      </c>
      <c r="U61" s="2">
        <f>VLOOKUP($A61,[1]Burgiss_Return!$B:$P,MATCH(U$2,[1]Burgiss_Return!$B$5:$P$5,0),0)</f>
        <v>2.0799999999999999E-2</v>
      </c>
      <c r="V61" s="2">
        <v>3.8051994503115472E-2</v>
      </c>
    </row>
    <row r="62" spans="1:22" x14ac:dyDescent="0.2">
      <c r="A62" s="3">
        <v>41912</v>
      </c>
      <c r="B62" s="2">
        <f>VLOOKUP($A62,[1]Burgiss_Return!$B:$P,MATCH(B$2,[1]Burgiss_Return!$B$5:$P$5,0),0)</f>
        <v>-8.8000000000000005E-3</v>
      </c>
      <c r="C62" s="2">
        <f>VLOOKUP($A62,[1]Burgiss_Return!$B:$P,MATCH(C$2,[1]Burgiss_Return!$B$5:$P$5,0),0)</f>
        <v>2.5399999999999999E-2</v>
      </c>
      <c r="D62" s="2">
        <f>VLOOKUP($A62,[1]Burgiss_Return!$B:$P,MATCH(D$2,[1]Burgiss_Return!$B$5:$P$5,0),0)</f>
        <v>2.5399999999999999E-2</v>
      </c>
      <c r="E62" s="2">
        <f>VLOOKUP($A62,[1]Burgiss_Return!$B:$P,MATCH(E$2,[1]Burgiss_Return!$B$5:$P$5,0),0)</f>
        <v>1.29E-2</v>
      </c>
      <c r="F62" s="2">
        <f>VLOOKUP($A62,[1]Burgiss_Return!$B:$P,MATCH(F$2,[1]Burgiss_Return!$B$5:$P$5,0),0)</f>
        <v>2.3E-3</v>
      </c>
      <c r="G62" s="2">
        <f>VLOOKUP($A62,[1]Burgiss_Return!$B:$P,MATCH(G$2,[1]Burgiss_Return!$B$5:$P$5,0),0)</f>
        <v>1.29E-2</v>
      </c>
      <c r="H62" s="2">
        <f>VLOOKUP($A62,[1]Burgiss_Return!$B:$P,MATCH(H$2,[1]Burgiss_Return!$B$5:$P$5,0),0)</f>
        <v>-7.1000000000000004E-3</v>
      </c>
      <c r="I62" s="2">
        <f>VLOOKUP($A62,[1]Burgiss_Return!$B:$P,MATCH(I$2,[1]Burgiss_Return!$B$5:$P$5,0),0)</f>
        <v>-2.1299999999999999E-2</v>
      </c>
      <c r="J62" s="2">
        <f>VLOOKUP($A62,[1]Burgiss_Return!$B:$P,MATCH(J$2,[1]Burgiss_Return!$B$5:$P$5,0),0)</f>
        <v>3.1399999999999997E-2</v>
      </c>
      <c r="K62" s="2">
        <v>2.459693422104392E-3</v>
      </c>
      <c r="L62" s="2">
        <v>2.2070000000000002E-3</v>
      </c>
      <c r="M62" s="2">
        <f>VLOOKUP($A62,[1]Burgiss_Return!$B:$P,MATCH(M$2,[1]Burgiss_Return!$B$5:$P$5,0),0)</f>
        <v>2.9499999999999998E-2</v>
      </c>
      <c r="N62" s="2">
        <v>2.2070000000000002E-3</v>
      </c>
      <c r="O62" s="2">
        <v>1.6004999999999998E-2</v>
      </c>
      <c r="P62" s="2">
        <v>4.2362299999999999E-2</v>
      </c>
      <c r="Q62" s="2">
        <v>-4.4331275864861741E-2</v>
      </c>
      <c r="R62" s="2">
        <f>VLOOKUP($A62,[1]Burgiss_Return!$B:$P,MATCH(R$2,[1]Burgiss_Return!$B$5:$P$5,0),0)</f>
        <v>-2.7300000000000001E-2</v>
      </c>
      <c r="S62" s="2">
        <f>VLOOKUP($A62,[1]Burgiss_Return!$B:$P,MATCH(S$2,[1]Burgiss_Return!$B$5:$P$5,0),0)</f>
        <v>-2.7300000000000001E-2</v>
      </c>
      <c r="T62" s="2">
        <f>VLOOKUP($A62,[1]Burgiss_Return!$B:$P,MATCH(T$2,[1]Burgiss_Return!$B$5:$P$5,0),0)</f>
        <v>-2.7300000000000001E-2</v>
      </c>
      <c r="U62" s="2">
        <f>VLOOKUP($A62,[1]Burgiss_Return!$B:$P,MATCH(U$2,[1]Burgiss_Return!$B$5:$P$5,0),0)</f>
        <v>-2.7300000000000001E-2</v>
      </c>
      <c r="V62" s="2">
        <v>-8.4581073425227249E-4</v>
      </c>
    </row>
    <row r="63" spans="1:22" x14ac:dyDescent="0.2">
      <c r="A63" s="3">
        <v>42004</v>
      </c>
      <c r="B63" s="2">
        <f>VLOOKUP($A63,[1]Burgiss_Return!$B:$P,MATCH(B$2,[1]Burgiss_Return!$B$5:$P$5,0),0)</f>
        <v>2.24E-2</v>
      </c>
      <c r="C63" s="2">
        <f>VLOOKUP($A63,[1]Burgiss_Return!$B:$P,MATCH(C$2,[1]Burgiss_Return!$B$5:$P$5,0),0)</f>
        <v>7.8899999999999998E-2</v>
      </c>
      <c r="D63" s="2">
        <f>VLOOKUP($A63,[1]Burgiss_Return!$B:$P,MATCH(D$2,[1]Burgiss_Return!$B$5:$P$5,0),0)</f>
        <v>7.8899999999999998E-2</v>
      </c>
      <c r="E63" s="2">
        <f>VLOOKUP($A63,[1]Burgiss_Return!$B:$P,MATCH(E$2,[1]Burgiss_Return!$B$5:$P$5,0),0)</f>
        <v>2.5000000000000001E-2</v>
      </c>
      <c r="F63" s="2">
        <f>VLOOKUP($A63,[1]Burgiss_Return!$B:$P,MATCH(F$2,[1]Burgiss_Return!$B$5:$P$5,0),0)</f>
        <v>4.2700000000000002E-2</v>
      </c>
      <c r="G63" s="2">
        <f>VLOOKUP($A63,[1]Burgiss_Return!$B:$P,MATCH(G$2,[1]Burgiss_Return!$B$5:$P$5,0),0)</f>
        <v>2.5000000000000001E-2</v>
      </c>
      <c r="H63" s="2">
        <f>VLOOKUP($A63,[1]Burgiss_Return!$B:$P,MATCH(H$2,[1]Burgiss_Return!$B$5:$P$5,0),0)</f>
        <v>4.4000000000000003E-3</v>
      </c>
      <c r="I63" s="2">
        <f>VLOOKUP($A63,[1]Burgiss_Return!$B:$P,MATCH(I$2,[1]Burgiss_Return!$B$5:$P$5,0),0)</f>
        <v>-9.4000000000000004E-3</v>
      </c>
      <c r="J63" s="2">
        <f>VLOOKUP($A63,[1]Burgiss_Return!$B:$P,MATCH(J$2,[1]Burgiss_Return!$B$5:$P$5,0),0)</f>
        <v>4.3799999999999999E-2</v>
      </c>
      <c r="K63" s="2">
        <v>2.5414868507609434E-3</v>
      </c>
      <c r="L63" s="2">
        <v>9.8650000000000005E-3</v>
      </c>
      <c r="M63" s="2">
        <f>VLOOKUP($A63,[1]Burgiss_Return!$B:$P,MATCH(M$2,[1]Burgiss_Return!$B$5:$P$5,0),0)</f>
        <v>0.05</v>
      </c>
      <c r="N63" s="2">
        <v>9.8650000000000005E-3</v>
      </c>
      <c r="O63" s="2">
        <v>1.6397999999999999E-2</v>
      </c>
      <c r="P63" s="2">
        <v>3.7349800000000002E-2</v>
      </c>
      <c r="Q63" s="2">
        <v>8.0731576547510731E-2</v>
      </c>
      <c r="R63" s="2">
        <f>VLOOKUP($A63,[1]Burgiss_Return!$B:$P,MATCH(R$2,[1]Burgiss_Return!$B$5:$P$5,0),0)</f>
        <v>-1.46E-2</v>
      </c>
      <c r="S63" s="2">
        <f>VLOOKUP($A63,[1]Burgiss_Return!$B:$P,MATCH(S$2,[1]Burgiss_Return!$B$5:$P$5,0),0)</f>
        <v>-1.46E-2</v>
      </c>
      <c r="T63" s="2">
        <f>VLOOKUP($A63,[1]Burgiss_Return!$B:$P,MATCH(T$2,[1]Burgiss_Return!$B$5:$P$5,0),0)</f>
        <v>-1.46E-2</v>
      </c>
      <c r="U63" s="2">
        <f>VLOOKUP($A63,[1]Burgiss_Return!$B:$P,MATCH(U$2,[1]Burgiss_Return!$B$5:$P$5,0),0)</f>
        <v>-1.46E-2</v>
      </c>
      <c r="V63" s="2">
        <v>1.5424065608000026E-2</v>
      </c>
    </row>
    <row r="64" spans="1:22" x14ac:dyDescent="0.2">
      <c r="A64" s="3">
        <v>42094</v>
      </c>
      <c r="B64" s="2">
        <f>VLOOKUP($A64,[1]Burgiss_Return!$B:$P,MATCH(B$2,[1]Burgiss_Return!$B$5:$P$5,0),0)</f>
        <v>1.14E-2</v>
      </c>
      <c r="C64" s="2">
        <f>VLOOKUP($A64,[1]Burgiss_Return!$B:$P,MATCH(C$2,[1]Burgiss_Return!$B$5:$P$5,0),0)</f>
        <v>3.3500000000000002E-2</v>
      </c>
      <c r="D64" s="2">
        <f>VLOOKUP($A64,[1]Burgiss_Return!$B:$P,MATCH(D$2,[1]Burgiss_Return!$B$5:$P$5,0),0)</f>
        <v>3.3500000000000002E-2</v>
      </c>
      <c r="E64" s="2">
        <f>VLOOKUP($A64,[1]Burgiss_Return!$B:$P,MATCH(E$2,[1]Burgiss_Return!$B$5:$P$5,0),0)</f>
        <v>8.6E-3</v>
      </c>
      <c r="F64" s="2">
        <f>VLOOKUP($A64,[1]Burgiss_Return!$B:$P,MATCH(F$2,[1]Burgiss_Return!$B$5:$P$5,0),0)</f>
        <v>1.3899999999999999E-2</v>
      </c>
      <c r="G64" s="2">
        <f>VLOOKUP($A64,[1]Burgiss_Return!$B:$P,MATCH(G$2,[1]Burgiss_Return!$B$5:$P$5,0),0)</f>
        <v>8.6E-3</v>
      </c>
      <c r="H64" s="2">
        <f>VLOOKUP($A64,[1]Burgiss_Return!$B:$P,MATCH(H$2,[1]Burgiss_Return!$B$5:$P$5,0),0)</f>
        <v>-1.52E-2</v>
      </c>
      <c r="I64" s="2">
        <f>VLOOKUP($A64,[1]Burgiss_Return!$B:$P,MATCH(I$2,[1]Burgiss_Return!$B$5:$P$5,0),0)</f>
        <v>-5.9999999999999995E-4</v>
      </c>
      <c r="J64" s="2">
        <f>VLOOKUP($A64,[1]Burgiss_Return!$B:$P,MATCH(J$2,[1]Burgiss_Return!$B$5:$P$5,0),0)</f>
        <v>4.1700000000000001E-2</v>
      </c>
      <c r="K64" s="2">
        <v>1.9163154498315071E-2</v>
      </c>
      <c r="L64" s="2">
        <v>-1.2979999999999999E-3</v>
      </c>
      <c r="M64" s="2">
        <f>VLOOKUP($A64,[1]Burgiss_Return!$B:$P,MATCH(M$2,[1]Burgiss_Return!$B$5:$P$5,0),0)</f>
        <v>2.2800000000000001E-2</v>
      </c>
      <c r="N64" s="2">
        <v>-1.2979999999999999E-3</v>
      </c>
      <c r="O64" s="2">
        <v>1.3117E-2</v>
      </c>
      <c r="P64" s="2">
        <v>1.69166E-2</v>
      </c>
      <c r="Q64" s="2">
        <v>4.1695741066137604E-2</v>
      </c>
      <c r="R64" s="2">
        <f>VLOOKUP($A64,[1]Burgiss_Return!$B:$P,MATCH(R$2,[1]Burgiss_Return!$B$5:$P$5,0),0)</f>
        <v>-6.3399999999999998E-2</v>
      </c>
      <c r="S64" s="2">
        <f>VLOOKUP($A64,[1]Burgiss_Return!$B:$P,MATCH(S$2,[1]Burgiss_Return!$B$5:$P$5,0),0)</f>
        <v>-6.3399999999999998E-2</v>
      </c>
      <c r="T64" s="2">
        <f>VLOOKUP($A64,[1]Burgiss_Return!$B:$P,MATCH(T$2,[1]Burgiss_Return!$B$5:$P$5,0),0)</f>
        <v>-6.3399999999999998E-2</v>
      </c>
      <c r="U64" s="2">
        <f>VLOOKUP($A64,[1]Burgiss_Return!$B:$P,MATCH(U$2,[1]Burgiss_Return!$B$5:$P$5,0),0)</f>
        <v>-6.3399999999999998E-2</v>
      </c>
      <c r="V64" s="2">
        <v>3.2554528048001075E-2</v>
      </c>
    </row>
    <row r="65" spans="1:22" x14ac:dyDescent="0.2">
      <c r="A65" s="3">
        <v>42185</v>
      </c>
      <c r="B65" s="2">
        <f>VLOOKUP($A65,[1]Burgiss_Return!$B:$P,MATCH(B$2,[1]Burgiss_Return!$B$5:$P$5,0),0)</f>
        <v>5.8799999999999998E-2</v>
      </c>
      <c r="C65" s="2">
        <f>VLOOKUP($A65,[1]Burgiss_Return!$B:$P,MATCH(C$2,[1]Burgiss_Return!$B$5:$P$5,0),0)</f>
        <v>4.9099999999999998E-2</v>
      </c>
      <c r="D65" s="2">
        <f>VLOOKUP($A65,[1]Burgiss_Return!$B:$P,MATCH(D$2,[1]Burgiss_Return!$B$5:$P$5,0),0)</f>
        <v>4.9099999999999998E-2</v>
      </c>
      <c r="E65" s="2">
        <f>VLOOKUP($A65,[1]Burgiss_Return!$B:$P,MATCH(E$2,[1]Burgiss_Return!$B$5:$P$5,0),0)</f>
        <v>6.0400000000000002E-2</v>
      </c>
      <c r="F65" s="2">
        <f>VLOOKUP($A65,[1]Burgiss_Return!$B:$P,MATCH(F$2,[1]Burgiss_Return!$B$5:$P$5,0),0)</f>
        <v>5.1900000000000002E-2</v>
      </c>
      <c r="G65" s="2">
        <f>VLOOKUP($A65,[1]Burgiss_Return!$B:$P,MATCH(G$2,[1]Burgiss_Return!$B$5:$P$5,0),0)</f>
        <v>6.0400000000000002E-2</v>
      </c>
      <c r="H65" s="2">
        <f>VLOOKUP($A65,[1]Burgiss_Return!$B:$P,MATCH(H$2,[1]Burgiss_Return!$B$5:$P$5,0),0)</f>
        <v>3.2300000000000002E-2</v>
      </c>
      <c r="I65" s="2">
        <f>VLOOKUP($A65,[1]Burgiss_Return!$B:$P,MATCH(I$2,[1]Burgiss_Return!$B$5:$P$5,0),0)</f>
        <v>1.2999999999999999E-2</v>
      </c>
      <c r="J65" s="2">
        <f>VLOOKUP($A65,[1]Burgiss_Return!$B:$P,MATCH(J$2,[1]Burgiss_Return!$B$5:$P$5,0),0)</f>
        <v>5.5599999999999997E-2</v>
      </c>
      <c r="K65" s="2">
        <v>2.78519485836215E-3</v>
      </c>
      <c r="L65" s="2">
        <v>4.6647000000000001E-2</v>
      </c>
      <c r="M65" s="2">
        <f>VLOOKUP($A65,[1]Burgiss_Return!$B:$P,MATCH(M$2,[1]Burgiss_Return!$B$5:$P$5,0),0)</f>
        <v>3.7400000000000003E-2</v>
      </c>
      <c r="N65" s="2">
        <v>4.6647000000000001E-2</v>
      </c>
      <c r="O65" s="2">
        <v>-5.1529999999999996E-3</v>
      </c>
      <c r="P65" s="2">
        <v>2.6811600000000001E-2</v>
      </c>
      <c r="Q65" s="2">
        <v>-6.6715530955121172E-2</v>
      </c>
      <c r="R65" s="2">
        <f>VLOOKUP($A65,[1]Burgiss_Return!$B:$P,MATCH(R$2,[1]Burgiss_Return!$B$5:$P$5,0),0)</f>
        <v>7.6899999999999996E-2</v>
      </c>
      <c r="S65" s="2">
        <f>VLOOKUP($A65,[1]Burgiss_Return!$B:$P,MATCH(S$2,[1]Burgiss_Return!$B$5:$P$5,0),0)</f>
        <v>7.6899999999999996E-2</v>
      </c>
      <c r="T65" s="2">
        <f>VLOOKUP($A65,[1]Burgiss_Return!$B:$P,MATCH(T$2,[1]Burgiss_Return!$B$5:$P$5,0),0)</f>
        <v>7.6899999999999996E-2</v>
      </c>
      <c r="U65" s="2">
        <f>VLOOKUP($A65,[1]Burgiss_Return!$B:$P,MATCH(U$2,[1]Burgiss_Return!$B$5:$P$5,0),0)</f>
        <v>7.6899999999999996E-2</v>
      </c>
      <c r="V65" s="2">
        <v>-4.0045839478731748E-2</v>
      </c>
    </row>
    <row r="66" spans="1:22" x14ac:dyDescent="0.2">
      <c r="A66" s="3">
        <v>42277</v>
      </c>
      <c r="B66" s="2">
        <f>VLOOKUP($A66,[1]Burgiss_Return!$B:$P,MATCH(B$2,[1]Burgiss_Return!$B$5:$P$5,0),0)</f>
        <v>-5.0000000000000001E-4</v>
      </c>
      <c r="C66" s="2">
        <f>VLOOKUP($A66,[1]Burgiss_Return!$B:$P,MATCH(C$2,[1]Burgiss_Return!$B$5:$P$5,0),0)</f>
        <v>-5.5999999999999999E-3</v>
      </c>
      <c r="D66" s="2">
        <f>VLOOKUP($A66,[1]Burgiss_Return!$B:$P,MATCH(D$2,[1]Burgiss_Return!$B$5:$P$5,0),0)</f>
        <v>-5.5999999999999999E-3</v>
      </c>
      <c r="E66" s="2">
        <f>VLOOKUP($A66,[1]Burgiss_Return!$B:$P,MATCH(E$2,[1]Burgiss_Return!$B$5:$P$5,0),0)</f>
        <v>1.01E-2</v>
      </c>
      <c r="F66" s="2">
        <f>VLOOKUP($A66,[1]Burgiss_Return!$B:$P,MATCH(F$2,[1]Burgiss_Return!$B$5:$P$5,0),0)</f>
        <v>1.2999999999999999E-3</v>
      </c>
      <c r="G66" s="2">
        <f>VLOOKUP($A66,[1]Burgiss_Return!$B:$P,MATCH(G$2,[1]Burgiss_Return!$B$5:$P$5,0),0)</f>
        <v>1.01E-2</v>
      </c>
      <c r="H66" s="2">
        <f>VLOOKUP($A66,[1]Burgiss_Return!$B:$P,MATCH(H$2,[1]Burgiss_Return!$B$5:$P$5,0),0)</f>
        <v>2.5999999999999999E-3</v>
      </c>
      <c r="I66" s="2">
        <f>VLOOKUP($A66,[1]Burgiss_Return!$B:$P,MATCH(I$2,[1]Burgiss_Return!$B$5:$P$5,0),0)</f>
        <v>-0.04</v>
      </c>
      <c r="J66" s="2">
        <f>VLOOKUP($A66,[1]Burgiss_Return!$B:$P,MATCH(J$2,[1]Burgiss_Return!$B$5:$P$5,0),0)</f>
        <v>-5.1499999999999997E-2</v>
      </c>
      <c r="K66" s="2">
        <v>-1.7960945431403252E-2</v>
      </c>
      <c r="L66" s="2">
        <v>8.3009999999999994E-3</v>
      </c>
      <c r="M66" s="2">
        <f>VLOOKUP($A66,[1]Burgiss_Return!$B:$P,MATCH(M$2,[1]Burgiss_Return!$B$5:$P$5,0),0)</f>
        <v>1.5599999999999999E-2</v>
      </c>
      <c r="N66" s="2">
        <v>8.3009999999999994E-3</v>
      </c>
      <c r="O66" s="2">
        <v>1.5671000000000001E-2</v>
      </c>
      <c r="P66" s="2">
        <v>-3.0828500000000002E-2</v>
      </c>
      <c r="Q66" s="2">
        <v>-1.4211587393280767E-2</v>
      </c>
      <c r="R66" s="2">
        <f>VLOOKUP($A66,[1]Burgiss_Return!$B:$P,MATCH(R$2,[1]Burgiss_Return!$B$5:$P$5,0),0)</f>
        <v>5.5999999999999999E-3</v>
      </c>
      <c r="S66" s="2">
        <f>VLOOKUP($A66,[1]Burgiss_Return!$B:$P,MATCH(S$2,[1]Burgiss_Return!$B$5:$P$5,0),0)</f>
        <v>5.5999999999999999E-3</v>
      </c>
      <c r="T66" s="2">
        <f>VLOOKUP($A66,[1]Burgiss_Return!$B:$P,MATCH(T$2,[1]Burgiss_Return!$B$5:$P$5,0),0)</f>
        <v>5.5999999999999999E-3</v>
      </c>
      <c r="U66" s="2">
        <f>VLOOKUP($A66,[1]Burgiss_Return!$B:$P,MATCH(U$2,[1]Burgiss_Return!$B$5:$P$5,0),0)</f>
        <v>5.5999999999999999E-3</v>
      </c>
      <c r="V66" s="2">
        <v>-9.7328427359293368E-3</v>
      </c>
    </row>
    <row r="67" spans="1:22" x14ac:dyDescent="0.2">
      <c r="A67" s="3">
        <v>42369</v>
      </c>
      <c r="B67" s="2">
        <f>VLOOKUP($A67,[1]Burgiss_Return!$B:$P,MATCH(B$2,[1]Burgiss_Return!$B$5:$P$5,0),0)</f>
        <v>2.3300000000000001E-2</v>
      </c>
      <c r="C67" s="2">
        <f>VLOOKUP($A67,[1]Burgiss_Return!$B:$P,MATCH(C$2,[1]Burgiss_Return!$B$5:$P$5,0),0)</f>
        <v>2.4199999999999999E-2</v>
      </c>
      <c r="D67" s="2">
        <f>VLOOKUP($A67,[1]Burgiss_Return!$B:$P,MATCH(D$2,[1]Burgiss_Return!$B$5:$P$5,0),0)</f>
        <v>2.4199999999999999E-2</v>
      </c>
      <c r="E67" s="2">
        <f>VLOOKUP($A67,[1]Burgiss_Return!$B:$P,MATCH(E$2,[1]Burgiss_Return!$B$5:$P$5,0),0)</f>
        <v>2.9999999999999997E-4</v>
      </c>
      <c r="F67" s="2">
        <f>VLOOKUP($A67,[1]Burgiss_Return!$B:$P,MATCH(F$2,[1]Burgiss_Return!$B$5:$P$5,0),0)</f>
        <v>2.4400000000000002E-2</v>
      </c>
      <c r="G67" s="2">
        <f>VLOOKUP($A67,[1]Burgiss_Return!$B:$P,MATCH(G$2,[1]Burgiss_Return!$B$5:$P$5,0),0)</f>
        <v>2.9999999999999997E-4</v>
      </c>
      <c r="H67" s="2">
        <f>VLOOKUP($A67,[1]Burgiss_Return!$B:$P,MATCH(H$2,[1]Burgiss_Return!$B$5:$P$5,0),0)</f>
        <v>0</v>
      </c>
      <c r="I67" s="2">
        <f>VLOOKUP($A67,[1]Burgiss_Return!$B:$P,MATCH(I$2,[1]Burgiss_Return!$B$5:$P$5,0),0)</f>
        <v>-2.4199999999999999E-2</v>
      </c>
      <c r="J67" s="2">
        <f>VLOOKUP($A67,[1]Burgiss_Return!$B:$P,MATCH(J$2,[1]Burgiss_Return!$B$5:$P$5,0),0)</f>
        <v>7.46E-2</v>
      </c>
      <c r="K67" s="2">
        <v>1.653178202021266E-5</v>
      </c>
      <c r="L67" s="2">
        <v>2.9536E-2</v>
      </c>
      <c r="M67" s="2">
        <f>VLOOKUP($A67,[1]Burgiss_Return!$B:$P,MATCH(M$2,[1]Burgiss_Return!$B$5:$P$5,0),0)</f>
        <v>2.9399999999999999E-2</v>
      </c>
      <c r="N67" s="2">
        <v>2.9536E-2</v>
      </c>
      <c r="O67" s="2">
        <v>3.2139999999999998E-3</v>
      </c>
      <c r="P67" s="2">
        <v>4.8336400000000002E-2</v>
      </c>
      <c r="Q67" s="2">
        <v>4.3995620697959037E-2</v>
      </c>
      <c r="R67" s="2">
        <f>VLOOKUP($A67,[1]Burgiss_Return!$B:$P,MATCH(R$2,[1]Burgiss_Return!$B$5:$P$5,0),0)</f>
        <v>-5.8999999999999999E-3</v>
      </c>
      <c r="S67" s="2">
        <f>VLOOKUP($A67,[1]Burgiss_Return!$B:$P,MATCH(S$2,[1]Burgiss_Return!$B$5:$P$5,0),0)</f>
        <v>-5.8999999999999999E-3</v>
      </c>
      <c r="T67" s="2">
        <f>VLOOKUP($A67,[1]Burgiss_Return!$B:$P,MATCH(T$2,[1]Burgiss_Return!$B$5:$P$5,0),0)</f>
        <v>-5.8999999999999999E-3</v>
      </c>
      <c r="U67" s="2">
        <f>VLOOKUP($A67,[1]Burgiss_Return!$B:$P,MATCH(U$2,[1]Burgiss_Return!$B$5:$P$5,0),0)</f>
        <v>-5.8999999999999999E-3</v>
      </c>
      <c r="V67" s="2">
        <v>-2.9762303655768707E-2</v>
      </c>
    </row>
    <row r="68" spans="1:22" x14ac:dyDescent="0.2">
      <c r="A68" s="3">
        <v>42460</v>
      </c>
      <c r="B68" s="2">
        <f>VLOOKUP($A68,[1]Burgiss_Return!$B:$P,MATCH(B$2,[1]Burgiss_Return!$B$5:$P$5,0),0)</f>
        <v>2.29E-2</v>
      </c>
      <c r="C68" s="2">
        <f>VLOOKUP($A68,[1]Burgiss_Return!$B:$P,MATCH(C$2,[1]Burgiss_Return!$B$5:$P$5,0),0)</f>
        <v>-2.63E-2</v>
      </c>
      <c r="D68" s="2">
        <f>VLOOKUP($A68,[1]Burgiss_Return!$B:$P,MATCH(D$2,[1]Burgiss_Return!$B$5:$P$5,0),0)</f>
        <v>-2.63E-2</v>
      </c>
      <c r="E68" s="2">
        <f>VLOOKUP($A68,[1]Burgiss_Return!$B:$P,MATCH(E$2,[1]Burgiss_Return!$B$5:$P$5,0),0)</f>
        <v>3.3E-3</v>
      </c>
      <c r="F68" s="2">
        <f>VLOOKUP($A68,[1]Burgiss_Return!$B:$P,MATCH(F$2,[1]Burgiss_Return!$B$5:$P$5,0),0)</f>
        <v>4.1999999999999997E-3</v>
      </c>
      <c r="G68" s="2">
        <f>VLOOKUP($A68,[1]Burgiss_Return!$B:$P,MATCH(G$2,[1]Burgiss_Return!$B$5:$P$5,0),0)</f>
        <v>3.3E-3</v>
      </c>
      <c r="H68" s="2">
        <f>VLOOKUP($A68,[1]Burgiss_Return!$B:$P,MATCH(H$2,[1]Burgiss_Return!$B$5:$P$5,0),0)</f>
        <v>2.8799999999999999E-2</v>
      </c>
      <c r="I68" s="2">
        <f>VLOOKUP($A68,[1]Burgiss_Return!$B:$P,MATCH(I$2,[1]Burgiss_Return!$B$5:$P$5,0),0)</f>
        <v>8.6999999999999994E-3</v>
      </c>
      <c r="J68" s="2">
        <f>VLOOKUP($A68,[1]Burgiss_Return!$B:$P,MATCH(J$2,[1]Burgiss_Return!$B$5:$P$5,0),0)</f>
        <v>-7.1999999999999998E-3</v>
      </c>
      <c r="K68" s="2">
        <v>-2.0787380331163563E-2</v>
      </c>
      <c r="L68" s="2">
        <v>2.8974E-2</v>
      </c>
      <c r="M68" s="2">
        <f>VLOOKUP($A68,[1]Burgiss_Return!$B:$P,MATCH(M$2,[1]Burgiss_Return!$B$5:$P$5,0),0)</f>
        <v>1.9699999999999999E-2</v>
      </c>
      <c r="N68" s="2">
        <v>2.8974E-2</v>
      </c>
      <c r="O68" s="2">
        <v>3.2030000000000003E-2</v>
      </c>
      <c r="P68" s="2">
        <v>4.5785399999999997E-2</v>
      </c>
      <c r="Q68" s="2">
        <v>5.4326441576190376E-2</v>
      </c>
      <c r="R68" s="2">
        <f>VLOOKUP($A68,[1]Burgiss_Return!$B:$P,MATCH(R$2,[1]Burgiss_Return!$B$5:$P$5,0),0)</f>
        <v>3.5099999999999999E-2</v>
      </c>
      <c r="S68" s="2">
        <f>VLOOKUP($A68,[1]Burgiss_Return!$B:$P,MATCH(S$2,[1]Burgiss_Return!$B$5:$P$5,0),0)</f>
        <v>3.5099999999999999E-2</v>
      </c>
      <c r="T68" s="2">
        <f>VLOOKUP($A68,[1]Burgiss_Return!$B:$P,MATCH(T$2,[1]Burgiss_Return!$B$5:$P$5,0),0)</f>
        <v>3.5099999999999999E-2</v>
      </c>
      <c r="U68" s="2">
        <f>VLOOKUP($A68,[1]Burgiss_Return!$B:$P,MATCH(U$2,[1]Burgiss_Return!$B$5:$P$5,0),0)</f>
        <v>3.5099999999999999E-2</v>
      </c>
      <c r="V68" s="2">
        <v>6.0427106911864703E-2</v>
      </c>
    </row>
    <row r="69" spans="1:22" x14ac:dyDescent="0.2">
      <c r="A69" s="3">
        <v>42551</v>
      </c>
      <c r="B69" s="2">
        <f>VLOOKUP($A69,[1]Burgiss_Return!$B:$P,MATCH(B$2,[1]Burgiss_Return!$B$5:$P$5,0),0)</f>
        <v>2.7E-2</v>
      </c>
      <c r="C69" s="2">
        <f>VLOOKUP($A69,[1]Burgiss_Return!$B:$P,MATCH(C$2,[1]Burgiss_Return!$B$5:$P$5,0),0)</f>
        <v>3.2000000000000002E-3</v>
      </c>
      <c r="D69" s="2">
        <f>VLOOKUP($A69,[1]Burgiss_Return!$B:$P,MATCH(D$2,[1]Burgiss_Return!$B$5:$P$5,0),0)</f>
        <v>3.2000000000000002E-3</v>
      </c>
      <c r="E69" s="2">
        <f>VLOOKUP($A69,[1]Burgiss_Return!$B:$P,MATCH(E$2,[1]Burgiss_Return!$B$5:$P$5,0),0)</f>
        <v>-8.0000000000000004E-4</v>
      </c>
      <c r="F69" s="2">
        <f>VLOOKUP($A69,[1]Burgiss_Return!$B:$P,MATCH(F$2,[1]Burgiss_Return!$B$5:$P$5,0),0)</f>
        <v>8.9999999999999993E-3</v>
      </c>
      <c r="G69" s="2">
        <f>VLOOKUP($A69,[1]Burgiss_Return!$B:$P,MATCH(G$2,[1]Burgiss_Return!$B$5:$P$5,0),0)</f>
        <v>-8.0000000000000004E-4</v>
      </c>
      <c r="H69" s="2">
        <f>VLOOKUP($A69,[1]Burgiss_Return!$B:$P,MATCH(H$2,[1]Burgiss_Return!$B$5:$P$5,0),0)</f>
        <v>1.3599999999999999E-2</v>
      </c>
      <c r="I69" s="2">
        <f>VLOOKUP($A69,[1]Burgiss_Return!$B:$P,MATCH(I$2,[1]Burgiss_Return!$B$5:$P$5,0),0)</f>
        <v>1.72E-2</v>
      </c>
      <c r="J69" s="2">
        <f>VLOOKUP($A69,[1]Burgiss_Return!$B:$P,MATCH(J$2,[1]Burgiss_Return!$B$5:$P$5,0),0)</f>
        <v>1.6199999999999999E-2</v>
      </c>
      <c r="K69" s="2">
        <v>5.2443644691493319E-3</v>
      </c>
      <c r="L69" s="2">
        <v>6.11E-4</v>
      </c>
      <c r="M69" s="2">
        <f>VLOOKUP($A69,[1]Burgiss_Return!$B:$P,MATCH(M$2,[1]Burgiss_Return!$B$5:$P$5,0),0)</f>
        <v>1.0200000000000001E-2</v>
      </c>
      <c r="N69" s="2">
        <v>6.11E-4</v>
      </c>
      <c r="O69" s="2">
        <v>2.1784000000000001E-2</v>
      </c>
      <c r="P69" s="2">
        <v>2.44307E-2</v>
      </c>
      <c r="Q69" s="2">
        <v>3.7438218181987892E-2</v>
      </c>
      <c r="R69" s="2">
        <f>VLOOKUP($A69,[1]Burgiss_Return!$B:$P,MATCH(R$2,[1]Burgiss_Return!$B$5:$P$5,0),0)</f>
        <v>5.7000000000000002E-3</v>
      </c>
      <c r="S69" s="2">
        <f>VLOOKUP($A69,[1]Burgiss_Return!$B:$P,MATCH(S$2,[1]Burgiss_Return!$B$5:$P$5,0),0)</f>
        <v>5.7000000000000002E-3</v>
      </c>
      <c r="T69" s="2">
        <f>VLOOKUP($A69,[1]Burgiss_Return!$B:$P,MATCH(T$2,[1]Burgiss_Return!$B$5:$P$5,0),0)</f>
        <v>5.7000000000000002E-3</v>
      </c>
      <c r="U69" s="2">
        <f>VLOOKUP($A69,[1]Burgiss_Return!$B:$P,MATCH(U$2,[1]Burgiss_Return!$B$5:$P$5,0),0)</f>
        <v>5.7000000000000002E-3</v>
      </c>
      <c r="V69" s="2">
        <v>6.8106788589941125E-2</v>
      </c>
    </row>
    <row r="70" spans="1:22" x14ac:dyDescent="0.2">
      <c r="A70" s="3">
        <v>42643</v>
      </c>
      <c r="B70" s="2">
        <f>VLOOKUP($A70,[1]Burgiss_Return!$B:$P,MATCH(B$2,[1]Burgiss_Return!$B$5:$P$5,0),0)</f>
        <v>4.5100000000000001E-2</v>
      </c>
      <c r="C70" s="2">
        <f>VLOOKUP($A70,[1]Burgiss_Return!$B:$P,MATCH(C$2,[1]Burgiss_Return!$B$5:$P$5,0),0)</f>
        <v>2.92E-2</v>
      </c>
      <c r="D70" s="2">
        <f>VLOOKUP($A70,[1]Burgiss_Return!$B:$P,MATCH(D$2,[1]Burgiss_Return!$B$5:$P$5,0),0)</f>
        <v>2.92E-2</v>
      </c>
      <c r="E70" s="2">
        <f>VLOOKUP($A70,[1]Burgiss_Return!$B:$P,MATCH(E$2,[1]Burgiss_Return!$B$5:$P$5,0),0)</f>
        <v>1.9599999999999999E-2</v>
      </c>
      <c r="F70" s="2">
        <f>VLOOKUP($A70,[1]Burgiss_Return!$B:$P,MATCH(F$2,[1]Burgiss_Return!$B$5:$P$5,0),0)</f>
        <v>2.8299999999999999E-2</v>
      </c>
      <c r="G70" s="2">
        <f>VLOOKUP($A70,[1]Burgiss_Return!$B:$P,MATCH(G$2,[1]Burgiss_Return!$B$5:$P$5,0),0)</f>
        <v>1.9599999999999999E-2</v>
      </c>
      <c r="H70" s="2">
        <f>VLOOKUP($A70,[1]Burgiss_Return!$B:$P,MATCH(H$2,[1]Burgiss_Return!$B$5:$P$5,0),0)</f>
        <v>2.92E-2</v>
      </c>
      <c r="I70" s="2">
        <f>VLOOKUP($A70,[1]Burgiss_Return!$B:$P,MATCH(I$2,[1]Burgiss_Return!$B$5:$P$5,0),0)</f>
        <v>3.6600000000000001E-2</v>
      </c>
      <c r="J70" s="2">
        <f>VLOOKUP($A70,[1]Burgiss_Return!$B:$P,MATCH(J$2,[1]Burgiss_Return!$B$5:$P$5,0),0)</f>
        <v>3.39E-2</v>
      </c>
      <c r="K70" s="2">
        <v>1.8407530508101511E-2</v>
      </c>
      <c r="L70" s="2">
        <v>1.6867E-2</v>
      </c>
      <c r="M70" s="2">
        <f>VLOOKUP($A70,[1]Burgiss_Return!$B:$P,MATCH(M$2,[1]Burgiss_Return!$B$5:$P$5,0),0)</f>
        <v>2.1899999999999999E-2</v>
      </c>
      <c r="N70" s="2">
        <v>1.6867E-2</v>
      </c>
      <c r="O70" s="2">
        <v>4.9799999999999996E-4</v>
      </c>
      <c r="P70" s="2">
        <v>2.4001399999999999E-2</v>
      </c>
      <c r="Q70" s="2">
        <v>1.4556427045164133E-2</v>
      </c>
      <c r="R70" s="2">
        <f>VLOOKUP($A70,[1]Burgiss_Return!$B:$P,MATCH(R$2,[1]Burgiss_Return!$B$5:$P$5,0),0)</f>
        <v>1.41E-2</v>
      </c>
      <c r="S70" s="2">
        <f>VLOOKUP($A70,[1]Burgiss_Return!$B:$P,MATCH(S$2,[1]Burgiss_Return!$B$5:$P$5,0),0)</f>
        <v>1.41E-2</v>
      </c>
      <c r="T70" s="2">
        <f>VLOOKUP($A70,[1]Burgiss_Return!$B:$P,MATCH(T$2,[1]Burgiss_Return!$B$5:$P$5,0),0)</f>
        <v>1.41E-2</v>
      </c>
      <c r="U70" s="2">
        <f>VLOOKUP($A70,[1]Burgiss_Return!$B:$P,MATCH(U$2,[1]Burgiss_Return!$B$5:$P$5,0),0)</f>
        <v>1.41E-2</v>
      </c>
      <c r="V70" s="2">
        <v>2.3277425444364175E-2</v>
      </c>
    </row>
    <row r="71" spans="1:22" x14ac:dyDescent="0.2">
      <c r="A71" s="3">
        <v>42735</v>
      </c>
      <c r="B71" s="2">
        <f>VLOOKUP($A71,[1]Burgiss_Return!$B:$P,MATCH(B$2,[1]Burgiss_Return!$B$5:$P$5,0),0)</f>
        <v>3.0499999999999999E-2</v>
      </c>
      <c r="C71" s="2">
        <f>VLOOKUP($A71,[1]Burgiss_Return!$B:$P,MATCH(C$2,[1]Burgiss_Return!$B$5:$P$5,0),0)</f>
        <v>6.3E-3</v>
      </c>
      <c r="D71" s="2">
        <f>VLOOKUP($A71,[1]Burgiss_Return!$B:$P,MATCH(D$2,[1]Burgiss_Return!$B$5:$P$5,0),0)</f>
        <v>6.3E-3</v>
      </c>
      <c r="E71" s="2">
        <f>VLOOKUP($A71,[1]Burgiss_Return!$B:$P,MATCH(E$2,[1]Burgiss_Return!$B$5:$P$5,0),0)</f>
        <v>3.2099999999999997E-2</v>
      </c>
      <c r="F71" s="2">
        <f>VLOOKUP($A71,[1]Burgiss_Return!$B:$P,MATCH(F$2,[1]Burgiss_Return!$B$5:$P$5,0),0)</f>
        <v>2.46E-2</v>
      </c>
      <c r="G71" s="2">
        <f>VLOOKUP($A71,[1]Burgiss_Return!$B:$P,MATCH(G$2,[1]Burgiss_Return!$B$5:$P$5,0),0)</f>
        <v>3.2099999999999997E-2</v>
      </c>
      <c r="H71" s="2">
        <f>VLOOKUP($A71,[1]Burgiss_Return!$B:$P,MATCH(H$2,[1]Burgiss_Return!$B$5:$P$5,0),0)</f>
        <v>-2.5999999999999999E-3</v>
      </c>
      <c r="I71" s="2">
        <f>VLOOKUP($A71,[1]Burgiss_Return!$B:$P,MATCH(I$2,[1]Burgiss_Return!$B$5:$P$5,0),0)</f>
        <v>3.8399999999999997E-2</v>
      </c>
      <c r="J71" s="2">
        <f>VLOOKUP($A71,[1]Burgiss_Return!$B:$P,MATCH(J$2,[1]Burgiss_Return!$B$5:$P$5,0),0)</f>
        <v>7.4000000000000003E-3</v>
      </c>
      <c r="K71" s="2">
        <v>1.6382639784432218E-2</v>
      </c>
      <c r="L71" s="2">
        <v>2.8180000000000002E-3</v>
      </c>
      <c r="M71" s="2">
        <f>VLOOKUP($A71,[1]Burgiss_Return!$B:$P,MATCH(M$2,[1]Burgiss_Return!$B$5:$P$5,0),0)</f>
        <v>1.8700000000000001E-2</v>
      </c>
      <c r="N71" s="2">
        <v>2.8180000000000002E-3</v>
      </c>
      <c r="O71" s="2">
        <v>-2.4797E-2</v>
      </c>
      <c r="P71" s="2">
        <v>1.2892799999999999E-2</v>
      </c>
      <c r="Q71" s="2">
        <v>-5.3940175818143588E-2</v>
      </c>
      <c r="R71" s="2">
        <f>VLOOKUP($A71,[1]Burgiss_Return!$B:$P,MATCH(R$2,[1]Burgiss_Return!$B$5:$P$5,0),0)</f>
        <v>1.5900000000000001E-2</v>
      </c>
      <c r="S71" s="2">
        <f>VLOOKUP($A71,[1]Burgiss_Return!$B:$P,MATCH(S$2,[1]Burgiss_Return!$B$5:$P$5,0),0)</f>
        <v>1.5900000000000001E-2</v>
      </c>
      <c r="T71" s="2">
        <f>VLOOKUP($A71,[1]Burgiss_Return!$B:$P,MATCH(T$2,[1]Burgiss_Return!$B$5:$P$5,0),0)</f>
        <v>1.5900000000000001E-2</v>
      </c>
      <c r="U71" s="2">
        <f>VLOOKUP($A71,[1]Burgiss_Return!$B:$P,MATCH(U$2,[1]Burgiss_Return!$B$5:$P$5,0),0)</f>
        <v>1.5900000000000001E-2</v>
      </c>
      <c r="V71" s="2">
        <v>-2.3744809851080739E-2</v>
      </c>
    </row>
    <row r="72" spans="1:22" x14ac:dyDescent="0.2">
      <c r="A72" s="3">
        <v>42825</v>
      </c>
      <c r="B72" s="2">
        <f>VLOOKUP($A72,[1]Burgiss_Return!$B:$P,MATCH(B$2,[1]Burgiss_Return!$B$5:$P$5,0),0)</f>
        <v>4.3799999999999999E-2</v>
      </c>
      <c r="C72" s="2">
        <f>VLOOKUP($A72,[1]Burgiss_Return!$B:$P,MATCH(C$2,[1]Burgiss_Return!$B$5:$P$5,0),0)</f>
        <v>3.0800000000000001E-2</v>
      </c>
      <c r="D72" s="2">
        <f>VLOOKUP($A72,[1]Burgiss_Return!$B:$P,MATCH(D$2,[1]Burgiss_Return!$B$5:$P$5,0),0)</f>
        <v>3.0800000000000001E-2</v>
      </c>
      <c r="E72" s="2">
        <f>VLOOKUP($A72,[1]Burgiss_Return!$B:$P,MATCH(E$2,[1]Burgiss_Return!$B$5:$P$5,0),0)</f>
        <v>2.53E-2</v>
      </c>
      <c r="F72" s="2">
        <f>VLOOKUP($A72,[1]Burgiss_Return!$B:$P,MATCH(F$2,[1]Burgiss_Return!$B$5:$P$5,0),0)</f>
        <v>2.6499999999999999E-2</v>
      </c>
      <c r="G72" s="2">
        <f>VLOOKUP($A72,[1]Burgiss_Return!$B:$P,MATCH(G$2,[1]Burgiss_Return!$B$5:$P$5,0),0)</f>
        <v>2.53E-2</v>
      </c>
      <c r="H72" s="2">
        <f>VLOOKUP($A72,[1]Burgiss_Return!$B:$P,MATCH(H$2,[1]Burgiss_Return!$B$5:$P$5,0),0)</f>
        <v>2.5700000000000001E-2</v>
      </c>
      <c r="I72" s="2">
        <f>VLOOKUP($A72,[1]Burgiss_Return!$B:$P,MATCH(I$2,[1]Burgiss_Return!$B$5:$P$5,0),0)</f>
        <v>2.5899999999999999E-2</v>
      </c>
      <c r="J72" s="2">
        <f>VLOOKUP($A72,[1]Burgiss_Return!$B:$P,MATCH(J$2,[1]Burgiss_Return!$B$5:$P$5,0),0)</f>
        <v>5.7599999999999998E-2</v>
      </c>
      <c r="K72" s="2">
        <v>1.2112727915434274E-2</v>
      </c>
      <c r="L72" s="2">
        <v>3.0100999999999999E-2</v>
      </c>
      <c r="M72" s="2">
        <f>VLOOKUP($A72,[1]Burgiss_Return!$B:$P,MATCH(M$2,[1]Burgiss_Return!$B$5:$P$5,0),0)</f>
        <v>2.9700000000000001E-2</v>
      </c>
      <c r="N72" s="2">
        <v>3.0100999999999999E-2</v>
      </c>
      <c r="O72" s="2">
        <v>2.0063999999999999E-2</v>
      </c>
      <c r="P72" s="2">
        <v>2.4556700000000001E-2</v>
      </c>
      <c r="Q72" s="2">
        <v>2.2966010527932124E-2</v>
      </c>
      <c r="R72" s="2">
        <f>VLOOKUP($A72,[1]Burgiss_Return!$B:$P,MATCH(R$2,[1]Burgiss_Return!$B$5:$P$5,0),0)</f>
        <v>7.0099999999999996E-2</v>
      </c>
      <c r="S72" s="2">
        <f>VLOOKUP($A72,[1]Burgiss_Return!$B:$P,MATCH(S$2,[1]Burgiss_Return!$B$5:$P$5,0),0)</f>
        <v>7.0099999999999996E-2</v>
      </c>
      <c r="T72" s="2">
        <f>VLOOKUP($A72,[1]Burgiss_Return!$B:$P,MATCH(T$2,[1]Burgiss_Return!$B$5:$P$5,0),0)</f>
        <v>7.0099999999999996E-2</v>
      </c>
      <c r="U72" s="2">
        <f>VLOOKUP($A72,[1]Burgiss_Return!$B:$P,MATCH(U$2,[1]Burgiss_Return!$B$5:$P$5,0),0)</f>
        <v>7.0099999999999996E-2</v>
      </c>
      <c r="V72" s="2">
        <v>1.3548903779560195E-2</v>
      </c>
    </row>
    <row r="73" spans="1:22" x14ac:dyDescent="0.2">
      <c r="A73" s="3">
        <v>42916</v>
      </c>
      <c r="B73" s="2">
        <f>VLOOKUP($A73,[1]Burgiss_Return!$B:$P,MATCH(B$2,[1]Burgiss_Return!$B$5:$P$5,0),0)</f>
        <v>6.7500000000000004E-2</v>
      </c>
      <c r="C73" s="2">
        <f>VLOOKUP($A73,[1]Burgiss_Return!$B:$P,MATCH(C$2,[1]Burgiss_Return!$B$5:$P$5,0),0)</f>
        <v>1.95E-2</v>
      </c>
      <c r="D73" s="2">
        <f>VLOOKUP($A73,[1]Burgiss_Return!$B:$P,MATCH(D$2,[1]Burgiss_Return!$B$5:$P$5,0),0)</f>
        <v>1.95E-2</v>
      </c>
      <c r="E73" s="2">
        <f>VLOOKUP($A73,[1]Burgiss_Return!$B:$P,MATCH(E$2,[1]Burgiss_Return!$B$5:$P$5,0),0)</f>
        <v>5.3600000000000002E-2</v>
      </c>
      <c r="F73" s="2">
        <f>VLOOKUP($A73,[1]Burgiss_Return!$B:$P,MATCH(F$2,[1]Burgiss_Return!$B$5:$P$5,0),0)</f>
        <v>4.1700000000000001E-2</v>
      </c>
      <c r="G73" s="2">
        <f>VLOOKUP($A73,[1]Burgiss_Return!$B:$P,MATCH(G$2,[1]Burgiss_Return!$B$5:$P$5,0),0)</f>
        <v>5.3600000000000002E-2</v>
      </c>
      <c r="H73" s="2">
        <f>VLOOKUP($A73,[1]Burgiss_Return!$B:$P,MATCH(H$2,[1]Burgiss_Return!$B$5:$P$5,0),0)</f>
        <v>3.5299999999999998E-2</v>
      </c>
      <c r="I73" s="2">
        <f>VLOOKUP($A73,[1]Burgiss_Return!$B:$P,MATCH(I$2,[1]Burgiss_Return!$B$5:$P$5,0),0)</f>
        <v>3.04E-2</v>
      </c>
      <c r="J73" s="2">
        <f>VLOOKUP($A73,[1]Burgiss_Return!$B:$P,MATCH(J$2,[1]Burgiss_Return!$B$5:$P$5,0),0)</f>
        <v>4.5900000000000003E-2</v>
      </c>
      <c r="K73" s="2">
        <v>3.7174435137534712E-3</v>
      </c>
      <c r="L73" s="2">
        <v>3.0033000000000001E-2</v>
      </c>
      <c r="M73" s="2">
        <f>VLOOKUP($A73,[1]Burgiss_Return!$B:$P,MATCH(M$2,[1]Burgiss_Return!$B$5:$P$5,0),0)</f>
        <v>4.3799999999999999E-2</v>
      </c>
      <c r="N73" s="2">
        <v>3.0033000000000001E-2</v>
      </c>
      <c r="O73" s="2">
        <v>2.111E-2</v>
      </c>
      <c r="P73" s="2">
        <v>3.2381600000000003E-2</v>
      </c>
      <c r="Q73" s="2">
        <v>3.005515045273377E-2</v>
      </c>
      <c r="R73" s="2">
        <f>VLOOKUP($A73,[1]Burgiss_Return!$B:$P,MATCH(R$2,[1]Burgiss_Return!$B$5:$P$5,0),0)</f>
        <v>5.2900000000000003E-2</v>
      </c>
      <c r="S73" s="2">
        <f>VLOOKUP($A73,[1]Burgiss_Return!$B:$P,MATCH(S$2,[1]Burgiss_Return!$B$5:$P$5,0),0)</f>
        <v>5.2900000000000003E-2</v>
      </c>
      <c r="T73" s="2">
        <f>VLOOKUP($A73,[1]Burgiss_Return!$B:$P,MATCH(T$2,[1]Burgiss_Return!$B$5:$P$5,0),0)</f>
        <v>5.2900000000000003E-2</v>
      </c>
      <c r="U73" s="2">
        <f>VLOOKUP($A73,[1]Burgiss_Return!$B:$P,MATCH(U$2,[1]Burgiss_Return!$B$5:$P$5,0),0)</f>
        <v>5.2900000000000003E-2</v>
      </c>
      <c r="V73" s="2">
        <v>2.9568204834791167E-2</v>
      </c>
    </row>
    <row r="74" spans="1:22" x14ac:dyDescent="0.2">
      <c r="A74" s="3">
        <v>43008</v>
      </c>
      <c r="B74" s="2">
        <f>VLOOKUP($A74,[1]Burgiss_Return!$B:$P,MATCH(B$2,[1]Burgiss_Return!$B$5:$P$5,0),0)</f>
        <v>4.4299999999999999E-2</v>
      </c>
      <c r="C74" s="2">
        <f>VLOOKUP($A74,[1]Burgiss_Return!$B:$P,MATCH(C$2,[1]Burgiss_Return!$B$5:$P$5,0),0)</f>
        <v>3.7400000000000003E-2</v>
      </c>
      <c r="D74" s="2">
        <f>VLOOKUP($A74,[1]Burgiss_Return!$B:$P,MATCH(D$2,[1]Burgiss_Return!$B$5:$P$5,0),0)</f>
        <v>3.7400000000000003E-2</v>
      </c>
      <c r="E74" s="2">
        <f>VLOOKUP($A74,[1]Burgiss_Return!$B:$P,MATCH(E$2,[1]Burgiss_Return!$B$5:$P$5,0),0)</f>
        <v>4.24E-2</v>
      </c>
      <c r="F74" s="2">
        <f>VLOOKUP($A74,[1]Burgiss_Return!$B:$P,MATCH(F$2,[1]Burgiss_Return!$B$5:$P$5,0),0)</f>
        <v>3.7999999999999999E-2</v>
      </c>
      <c r="G74" s="2">
        <f>VLOOKUP($A74,[1]Burgiss_Return!$B:$P,MATCH(G$2,[1]Burgiss_Return!$B$5:$P$5,0),0)</f>
        <v>4.24E-2</v>
      </c>
      <c r="H74" s="2">
        <f>VLOOKUP($A74,[1]Burgiss_Return!$B:$P,MATCH(H$2,[1]Burgiss_Return!$B$5:$P$5,0),0)</f>
        <v>2.24E-2</v>
      </c>
      <c r="I74" s="2">
        <f>VLOOKUP($A74,[1]Burgiss_Return!$B:$P,MATCH(I$2,[1]Burgiss_Return!$B$5:$P$5,0),0)</f>
        <v>3.6900000000000002E-2</v>
      </c>
      <c r="J74" s="2">
        <f>VLOOKUP($A74,[1]Burgiss_Return!$B:$P,MATCH(J$2,[1]Burgiss_Return!$B$5:$P$5,0),0)</f>
        <v>5.3800000000000001E-2</v>
      </c>
      <c r="K74" s="2">
        <v>1.315217863504059E-2</v>
      </c>
      <c r="L74" s="2">
        <v>3.2766999999999998E-2</v>
      </c>
      <c r="M74" s="2">
        <f>VLOOKUP($A74,[1]Burgiss_Return!$B:$P,MATCH(M$2,[1]Burgiss_Return!$B$5:$P$5,0),0)</f>
        <v>3.2599999999999997E-2</v>
      </c>
      <c r="N74" s="2">
        <v>3.2766999999999998E-2</v>
      </c>
      <c r="O74" s="2">
        <v>1.0725999999999999E-2</v>
      </c>
      <c r="P74" s="2">
        <v>4.4575499999999997E-2</v>
      </c>
      <c r="Q74" s="2">
        <v>1.839570091729259E-2</v>
      </c>
      <c r="R74" s="2">
        <f>VLOOKUP($A74,[1]Burgiss_Return!$B:$P,MATCH(R$2,[1]Burgiss_Return!$B$5:$P$5,0),0)</f>
        <v>5.2400000000000002E-2</v>
      </c>
      <c r="S74" s="2">
        <f>VLOOKUP($A74,[1]Burgiss_Return!$B:$P,MATCH(S$2,[1]Burgiss_Return!$B$5:$P$5,0),0)</f>
        <v>5.2400000000000002E-2</v>
      </c>
      <c r="T74" s="2">
        <f>VLOOKUP($A74,[1]Burgiss_Return!$B:$P,MATCH(T$2,[1]Burgiss_Return!$B$5:$P$5,0),0)</f>
        <v>5.2400000000000002E-2</v>
      </c>
      <c r="U74" s="2">
        <f>VLOOKUP($A74,[1]Burgiss_Return!$B:$P,MATCH(U$2,[1]Burgiss_Return!$B$5:$P$5,0),0)</f>
        <v>5.2400000000000002E-2</v>
      </c>
      <c r="V74" s="2">
        <v>1.4283534259118102E-2</v>
      </c>
    </row>
    <row r="75" spans="1:22" x14ac:dyDescent="0.2">
      <c r="A75" s="3">
        <v>43100</v>
      </c>
      <c r="B75" s="2">
        <f>VLOOKUP($A75,[1]Burgiss_Return!$B:$P,MATCH(B$2,[1]Burgiss_Return!$B$5:$P$5,0),0)</f>
        <v>5.6599999999999998E-2</v>
      </c>
      <c r="C75" s="2">
        <f>VLOOKUP($A75,[1]Burgiss_Return!$B:$P,MATCH(C$2,[1]Burgiss_Return!$B$5:$P$5,0),0)</f>
        <v>3.78E-2</v>
      </c>
      <c r="D75" s="2">
        <f>VLOOKUP($A75,[1]Burgiss_Return!$B:$P,MATCH(D$2,[1]Burgiss_Return!$B$5:$P$5,0),0)</f>
        <v>3.78E-2</v>
      </c>
      <c r="E75" s="2">
        <f>VLOOKUP($A75,[1]Burgiss_Return!$B:$P,MATCH(E$2,[1]Burgiss_Return!$B$5:$P$5,0),0)</f>
        <v>7.1400000000000005E-2</v>
      </c>
      <c r="F75" s="2">
        <f>VLOOKUP($A75,[1]Burgiss_Return!$B:$P,MATCH(F$2,[1]Burgiss_Return!$B$5:$P$5,0),0)</f>
        <v>4.58E-2</v>
      </c>
      <c r="G75" s="2">
        <f>VLOOKUP($A75,[1]Burgiss_Return!$B:$P,MATCH(G$2,[1]Burgiss_Return!$B$5:$P$5,0),0)</f>
        <v>7.1400000000000005E-2</v>
      </c>
      <c r="H75" s="2">
        <f>VLOOKUP($A75,[1]Burgiss_Return!$B:$P,MATCH(H$2,[1]Burgiss_Return!$B$5:$P$5,0),0)</f>
        <v>3.0099999999999998E-2</v>
      </c>
      <c r="I75" s="2">
        <f>VLOOKUP($A75,[1]Burgiss_Return!$B:$P,MATCH(I$2,[1]Burgiss_Return!$B$5:$P$5,0),0)</f>
        <v>3.27E-2</v>
      </c>
      <c r="J75" s="2">
        <f>VLOOKUP($A75,[1]Burgiss_Return!$B:$P,MATCH(J$2,[1]Burgiss_Return!$B$5:$P$5,0),0)</f>
        <v>6.2799999999999995E-2</v>
      </c>
      <c r="K75" s="2">
        <v>1.1595672389465683E-2</v>
      </c>
      <c r="L75" s="2">
        <v>2.6804999999999999E-2</v>
      </c>
      <c r="M75" s="2">
        <f>VLOOKUP($A75,[1]Burgiss_Return!$B:$P,MATCH(M$2,[1]Burgiss_Return!$B$5:$P$5,0),0)</f>
        <v>4.2000000000000003E-2</v>
      </c>
      <c r="N75" s="2">
        <v>2.6804999999999999E-2</v>
      </c>
      <c r="O75" s="2">
        <v>3.5929999999999998E-3</v>
      </c>
      <c r="P75" s="2">
        <v>2.7152300000000001E-2</v>
      </c>
      <c r="Q75" s="2">
        <v>3.8305314004429381E-2</v>
      </c>
      <c r="R75" s="2">
        <f>VLOOKUP($A75,[1]Burgiss_Return!$B:$P,MATCH(R$2,[1]Burgiss_Return!$B$5:$P$5,0),0)</f>
        <v>4.53E-2</v>
      </c>
      <c r="S75" s="2">
        <f>VLOOKUP($A75,[1]Burgiss_Return!$B:$P,MATCH(S$2,[1]Burgiss_Return!$B$5:$P$5,0),0)</f>
        <v>4.53E-2</v>
      </c>
      <c r="T75" s="2">
        <f>VLOOKUP($A75,[1]Burgiss_Return!$B:$P,MATCH(T$2,[1]Burgiss_Return!$B$5:$P$5,0),0)</f>
        <v>4.53E-2</v>
      </c>
      <c r="U75" s="2">
        <f>VLOOKUP($A75,[1]Burgiss_Return!$B:$P,MATCH(U$2,[1]Burgiss_Return!$B$5:$P$5,0),0)</f>
        <v>4.53E-2</v>
      </c>
      <c r="V75" s="2">
        <v>1.7140969317646082E-2</v>
      </c>
    </row>
    <row r="76" spans="1:22" x14ac:dyDescent="0.2">
      <c r="A76" s="3">
        <v>43190</v>
      </c>
      <c r="B76" s="2">
        <f>VLOOKUP($A76,[1]Burgiss_Return!$B:$P,MATCH(B$2,[1]Burgiss_Return!$B$5:$P$5,0),0)</f>
        <v>2.9399999999999999E-2</v>
      </c>
      <c r="C76" s="2">
        <f>VLOOKUP($A76,[1]Burgiss_Return!$B:$P,MATCH(C$2,[1]Burgiss_Return!$B$5:$P$5,0),0)</f>
        <v>4.3200000000000002E-2</v>
      </c>
      <c r="D76" s="2">
        <f>VLOOKUP($A76,[1]Burgiss_Return!$B:$P,MATCH(D$2,[1]Burgiss_Return!$B$5:$P$5,0),0)</f>
        <v>4.3200000000000002E-2</v>
      </c>
      <c r="E76" s="2">
        <f>VLOOKUP($A76,[1]Burgiss_Return!$B:$P,MATCH(E$2,[1]Burgiss_Return!$B$5:$P$5,0),0)</f>
        <v>2.6200000000000001E-2</v>
      </c>
      <c r="F76" s="2">
        <f>VLOOKUP($A76,[1]Burgiss_Return!$B:$P,MATCH(F$2,[1]Burgiss_Return!$B$5:$P$5,0),0)</f>
        <v>3.7900000000000003E-2</v>
      </c>
      <c r="G76" s="2">
        <f>VLOOKUP($A76,[1]Burgiss_Return!$B:$P,MATCH(G$2,[1]Burgiss_Return!$B$5:$P$5,0),0)</f>
        <v>2.6200000000000001E-2</v>
      </c>
      <c r="H76" s="2">
        <f>VLOOKUP($A76,[1]Burgiss_Return!$B:$P,MATCH(H$2,[1]Burgiss_Return!$B$5:$P$5,0),0)</f>
        <v>1.3899999999999999E-2</v>
      </c>
      <c r="I76" s="2">
        <f>VLOOKUP($A76,[1]Burgiss_Return!$B:$P,MATCH(I$2,[1]Burgiss_Return!$B$5:$P$5,0),0)</f>
        <v>1.95E-2</v>
      </c>
      <c r="J76" s="2">
        <f>VLOOKUP($A76,[1]Burgiss_Return!$B:$P,MATCH(J$2,[1]Burgiss_Return!$B$5:$P$5,0),0)</f>
        <v>2.1100000000000001E-2</v>
      </c>
      <c r="K76" s="2">
        <v>5.6073329378605319E-3</v>
      </c>
      <c r="L76" s="2">
        <v>2.3377999999999999E-2</v>
      </c>
      <c r="M76" s="2">
        <f>VLOOKUP($A76,[1]Burgiss_Return!$B:$P,MATCH(M$2,[1]Burgiss_Return!$B$5:$P$5,0),0)</f>
        <v>2.87E-2</v>
      </c>
      <c r="N76" s="2">
        <v>2.3377999999999999E-2</v>
      </c>
      <c r="O76" s="2">
        <v>-3.7666000000000002E-3</v>
      </c>
      <c r="P76" s="2">
        <v>2.6195300000000001E-2</v>
      </c>
      <c r="Q76" s="2">
        <v>-4.3045688048953923E-2</v>
      </c>
      <c r="R76" s="2">
        <f>VLOOKUP($A76,[1]Burgiss_Return!$B:$P,MATCH(R$2,[1]Burgiss_Return!$B$5:$P$5,0),0)</f>
        <v>5.1200000000000002E-2</v>
      </c>
      <c r="S76" s="2">
        <f>VLOOKUP($A76,[1]Burgiss_Return!$B:$P,MATCH(S$2,[1]Burgiss_Return!$B$5:$P$5,0),0)</f>
        <v>5.1200000000000002E-2</v>
      </c>
      <c r="T76" s="2">
        <f>VLOOKUP($A76,[1]Burgiss_Return!$B:$P,MATCH(T$2,[1]Burgiss_Return!$B$5:$P$5,0),0)</f>
        <v>5.1200000000000002E-2</v>
      </c>
      <c r="U76" s="2">
        <f>VLOOKUP($A76,[1]Burgiss_Return!$B:$P,MATCH(U$2,[1]Burgiss_Return!$B$5:$P$5,0),0)</f>
        <v>5.1200000000000002E-2</v>
      </c>
      <c r="V76" s="2">
        <v>-2.5475076840015598E-2</v>
      </c>
    </row>
    <row r="77" spans="1:22" x14ac:dyDescent="0.2">
      <c r="A77" s="3">
        <v>43281</v>
      </c>
      <c r="B77" s="2">
        <f>VLOOKUP($A77,[1]Burgiss_Return!$B:$P,MATCH(B$2,[1]Burgiss_Return!$B$5:$P$5,0),0)</f>
        <v>4.2999999999999997E-2</v>
      </c>
      <c r="C77" s="2">
        <f>VLOOKUP($A77,[1]Burgiss_Return!$B:$P,MATCH(C$2,[1]Burgiss_Return!$B$5:$P$5,0),0)</f>
        <v>6.4000000000000001E-2</v>
      </c>
      <c r="D77" s="2">
        <f>VLOOKUP($A77,[1]Burgiss_Return!$B:$P,MATCH(D$2,[1]Burgiss_Return!$B$5:$P$5,0),0)</f>
        <v>6.4000000000000001E-2</v>
      </c>
      <c r="E77" s="2">
        <f>VLOOKUP($A77,[1]Burgiss_Return!$B:$P,MATCH(E$2,[1]Burgiss_Return!$B$5:$P$5,0),0)</f>
        <v>3.4299999999999997E-2</v>
      </c>
      <c r="F77" s="2">
        <f>VLOOKUP($A77,[1]Burgiss_Return!$B:$P,MATCH(F$2,[1]Burgiss_Return!$B$5:$P$5,0),0)</f>
        <v>3.9899999999999998E-2</v>
      </c>
      <c r="G77" s="2">
        <f>VLOOKUP($A77,[1]Burgiss_Return!$B:$P,MATCH(G$2,[1]Burgiss_Return!$B$5:$P$5,0),0)</f>
        <v>3.4299999999999997E-2</v>
      </c>
      <c r="H77" s="2">
        <f>VLOOKUP($A77,[1]Burgiss_Return!$B:$P,MATCH(H$2,[1]Burgiss_Return!$B$5:$P$5,0),0)</f>
        <v>9.2999999999999992E-3</v>
      </c>
      <c r="I77" s="2">
        <f>VLOOKUP($A77,[1]Burgiss_Return!$B:$P,MATCH(I$2,[1]Burgiss_Return!$B$5:$P$5,0),0)</f>
        <v>1.6199999999999999E-2</v>
      </c>
      <c r="J77" s="2">
        <f>VLOOKUP($A77,[1]Burgiss_Return!$B:$P,MATCH(J$2,[1]Burgiss_Return!$B$5:$P$5,0),0)</f>
        <v>3.8800000000000001E-2</v>
      </c>
      <c r="K77" s="2">
        <v>1.0845300789785961E-2</v>
      </c>
      <c r="L77" s="2">
        <v>2.7700000000000001E-4</v>
      </c>
      <c r="M77" s="2">
        <f>VLOOKUP($A77,[1]Burgiss_Return!$B:$P,MATCH(M$2,[1]Burgiss_Return!$B$5:$P$5,0),0)</f>
        <v>1.23E-2</v>
      </c>
      <c r="N77" s="2">
        <v>2.7700000000000001E-4</v>
      </c>
      <c r="O77" s="2">
        <v>6.1450000000000003E-3</v>
      </c>
      <c r="P77" s="2">
        <v>2.6645599999999998E-2</v>
      </c>
      <c r="Q77" s="2">
        <v>5.4509139359829817E-2</v>
      </c>
      <c r="R77" s="2">
        <f>VLOOKUP($A77,[1]Burgiss_Return!$B:$P,MATCH(R$2,[1]Burgiss_Return!$B$5:$P$5,0),0)</f>
        <v>-4.8999999999999998E-3</v>
      </c>
      <c r="S77" s="2">
        <f>VLOOKUP($A77,[1]Burgiss_Return!$B:$P,MATCH(S$2,[1]Burgiss_Return!$B$5:$P$5,0),0)</f>
        <v>-4.8999999999999998E-3</v>
      </c>
      <c r="T77" s="2">
        <f>VLOOKUP($A77,[1]Burgiss_Return!$B:$P,MATCH(T$2,[1]Burgiss_Return!$B$5:$P$5,0),0)</f>
        <v>-4.8999999999999998E-3</v>
      </c>
      <c r="U77" s="2">
        <f>VLOOKUP($A77,[1]Burgiss_Return!$B:$P,MATCH(U$2,[1]Burgiss_Return!$B$5:$P$5,0),0)</f>
        <v>-4.8999999999999998E-3</v>
      </c>
      <c r="V77" s="2">
        <v>-1.3732668940477311E-2</v>
      </c>
    </row>
    <row r="78" spans="1:22" x14ac:dyDescent="0.2">
      <c r="A78" s="3">
        <v>43373</v>
      </c>
      <c r="B78" s="2">
        <f>VLOOKUP($A78,[1]Burgiss_Return!$B:$P,MATCH(B$2,[1]Burgiss_Return!$B$5:$P$5,0),0)</f>
        <v>3.56E-2</v>
      </c>
      <c r="C78" s="2">
        <f>VLOOKUP($A78,[1]Burgiss_Return!$B:$P,MATCH(C$2,[1]Burgiss_Return!$B$5:$P$5,0),0)</f>
        <v>6.93E-2</v>
      </c>
      <c r="D78" s="2">
        <f>VLOOKUP($A78,[1]Burgiss_Return!$B:$P,MATCH(D$2,[1]Burgiss_Return!$B$5:$P$5,0),0)</f>
        <v>6.93E-2</v>
      </c>
      <c r="E78" s="2">
        <f>VLOOKUP($A78,[1]Burgiss_Return!$B:$P,MATCH(E$2,[1]Burgiss_Return!$B$5:$P$5,0),0)</f>
        <v>4.1000000000000002E-2</v>
      </c>
      <c r="F78" s="2">
        <f>VLOOKUP($A78,[1]Burgiss_Return!$B:$P,MATCH(F$2,[1]Burgiss_Return!$B$5:$P$5,0),0)</f>
        <v>2.6100000000000002E-2</v>
      </c>
      <c r="G78" s="2">
        <f>VLOOKUP($A78,[1]Burgiss_Return!$B:$P,MATCH(G$2,[1]Burgiss_Return!$B$5:$P$5,0),0)</f>
        <v>4.1000000000000002E-2</v>
      </c>
      <c r="H78" s="2">
        <f>VLOOKUP($A78,[1]Burgiss_Return!$B:$P,MATCH(H$2,[1]Burgiss_Return!$B$5:$P$5,0),0)</f>
        <v>1.8599999999999998E-2</v>
      </c>
      <c r="I78" s="2">
        <f>VLOOKUP($A78,[1]Burgiss_Return!$B:$P,MATCH(I$2,[1]Burgiss_Return!$B$5:$P$5,0),0)</f>
        <v>2.2499999999999999E-2</v>
      </c>
      <c r="J78" s="2">
        <f>VLOOKUP($A78,[1]Burgiss_Return!$B:$P,MATCH(J$2,[1]Burgiss_Return!$B$5:$P$5,0),0)</f>
        <v>1.1299999999999999E-2</v>
      </c>
      <c r="K78" s="2">
        <v>7.8607504352266044E-3</v>
      </c>
      <c r="L78" s="2">
        <v>1.5072E-2</v>
      </c>
      <c r="M78" s="2">
        <f>VLOOKUP($A78,[1]Burgiss_Return!$B:$P,MATCH(M$2,[1]Burgiss_Return!$B$5:$P$5,0),0)</f>
        <v>1.8200000000000001E-2</v>
      </c>
      <c r="N78" s="2">
        <v>1.5072E-2</v>
      </c>
      <c r="O78" s="2">
        <v>1.696E-3</v>
      </c>
      <c r="P78" s="2">
        <v>2.6862E-2</v>
      </c>
      <c r="Q78" s="2">
        <v>-1.5404390599206286E-3</v>
      </c>
      <c r="R78" s="2">
        <f>VLOOKUP($A78,[1]Burgiss_Return!$B:$P,MATCH(R$2,[1]Burgiss_Return!$B$5:$P$5,0),0)</f>
        <v>2.0400000000000001E-2</v>
      </c>
      <c r="S78" s="2">
        <f>VLOOKUP($A78,[1]Burgiss_Return!$B:$P,MATCH(S$2,[1]Burgiss_Return!$B$5:$P$5,0),0)</f>
        <v>2.0400000000000001E-2</v>
      </c>
      <c r="T78" s="2">
        <f>VLOOKUP($A78,[1]Burgiss_Return!$B:$P,MATCH(T$2,[1]Burgiss_Return!$B$5:$P$5,0),0)</f>
        <v>2.0400000000000001E-2</v>
      </c>
      <c r="U78" s="2">
        <f>VLOOKUP($A78,[1]Burgiss_Return!$B:$P,MATCH(U$2,[1]Burgiss_Return!$B$5:$P$5,0),0)</f>
        <v>2.0400000000000001E-2</v>
      </c>
      <c r="V78" s="2">
        <v>1.2890202432991993E-2</v>
      </c>
    </row>
    <row r="79" spans="1:22" x14ac:dyDescent="0.2">
      <c r="A79" s="3">
        <v>43465</v>
      </c>
      <c r="B79" s="2">
        <f>VLOOKUP($A79,[1]Burgiss_Return!$B:$P,MATCH(B$2,[1]Burgiss_Return!$B$5:$P$5,0),0)</f>
        <v>-1.0200000000000001E-2</v>
      </c>
      <c r="C79" s="2">
        <f>VLOOKUP($A79,[1]Burgiss_Return!$B:$P,MATCH(C$2,[1]Burgiss_Return!$B$5:$P$5,0),0)</f>
        <v>1.2800000000000001E-2</v>
      </c>
      <c r="D79" s="2">
        <f>VLOOKUP($A79,[1]Burgiss_Return!$B:$P,MATCH(D$2,[1]Burgiss_Return!$B$5:$P$5,0),0)</f>
        <v>1.2800000000000001E-2</v>
      </c>
      <c r="E79" s="2">
        <f>VLOOKUP($A79,[1]Burgiss_Return!$B:$P,MATCH(E$2,[1]Burgiss_Return!$B$5:$P$5,0),0)</f>
        <v>-7.4000000000000003E-3</v>
      </c>
      <c r="F79" s="2">
        <f>VLOOKUP($A79,[1]Burgiss_Return!$B:$P,MATCH(F$2,[1]Burgiss_Return!$B$5:$P$5,0),0)</f>
        <v>-2.8999999999999998E-3</v>
      </c>
      <c r="G79" s="2">
        <f>VLOOKUP($A79,[1]Burgiss_Return!$B:$P,MATCH(G$2,[1]Burgiss_Return!$B$5:$P$5,0),0)</f>
        <v>-7.4000000000000003E-3</v>
      </c>
      <c r="H79" s="2">
        <f>VLOOKUP($A79,[1]Burgiss_Return!$B:$P,MATCH(H$2,[1]Burgiss_Return!$B$5:$P$5,0),0)</f>
        <v>7.0000000000000001E-3</v>
      </c>
      <c r="I79" s="2">
        <f>VLOOKUP($A79,[1]Burgiss_Return!$B:$P,MATCH(I$2,[1]Burgiss_Return!$B$5:$P$5,0),0)</f>
        <v>-8.5000000000000006E-3</v>
      </c>
      <c r="J79" s="2">
        <f>VLOOKUP($A79,[1]Burgiss_Return!$B:$P,MATCH(J$2,[1]Burgiss_Return!$B$5:$P$5,0),0)</f>
        <v>-1.1000000000000001E-3</v>
      </c>
      <c r="K79" s="2">
        <v>-3.2366757268384672E-2</v>
      </c>
      <c r="L79" s="2">
        <v>5.4429999999999999E-3</v>
      </c>
      <c r="M79" s="2">
        <f>VLOOKUP($A79,[1]Burgiss_Return!$B:$P,MATCH(M$2,[1]Burgiss_Return!$B$5:$P$5,0),0)</f>
        <v>1.46E-2</v>
      </c>
      <c r="N79" s="2">
        <v>5.4429999999999999E-3</v>
      </c>
      <c r="O79" s="2">
        <v>2.2397E-2</v>
      </c>
      <c r="P79" s="2">
        <v>2.48647E-2</v>
      </c>
      <c r="Q79" s="2">
        <v>-5.4563590625239522E-2</v>
      </c>
      <c r="R79" s="2">
        <f>VLOOKUP($A79,[1]Burgiss_Return!$B:$P,MATCH(R$2,[1]Burgiss_Return!$B$5:$P$5,0),0)</f>
        <v>9.4000000000000004E-3</v>
      </c>
      <c r="S79" s="2">
        <f>VLOOKUP($A79,[1]Burgiss_Return!$B:$P,MATCH(S$2,[1]Burgiss_Return!$B$5:$P$5,0),0)</f>
        <v>9.4000000000000004E-3</v>
      </c>
      <c r="T79" s="2">
        <f>VLOOKUP($A79,[1]Burgiss_Return!$B:$P,MATCH(T$2,[1]Burgiss_Return!$B$5:$P$5,0),0)</f>
        <v>9.4000000000000004E-3</v>
      </c>
      <c r="U79" s="2">
        <f>VLOOKUP($A79,[1]Burgiss_Return!$B:$P,MATCH(U$2,[1]Burgiss_Return!$B$5:$P$5,0),0)</f>
        <v>9.4000000000000004E-3</v>
      </c>
      <c r="V79" s="2">
        <v>-7.3766397544665629E-3</v>
      </c>
    </row>
    <row r="80" spans="1:22" x14ac:dyDescent="0.2">
      <c r="A80" s="3">
        <v>43555</v>
      </c>
      <c r="B80" s="2">
        <f>VLOOKUP($A80,[1]Burgiss_Return!$B:$P,MATCH(B$2,[1]Burgiss_Return!$B$5:$P$5,0),0)</f>
        <v>4.5699999999999998E-2</v>
      </c>
      <c r="C80" s="2">
        <f>VLOOKUP($A80,[1]Burgiss_Return!$B:$P,MATCH(C$2,[1]Burgiss_Return!$B$5:$P$5,0),0)</f>
        <v>6.9699999999999998E-2</v>
      </c>
      <c r="D80" s="2">
        <f>VLOOKUP($A80,[1]Burgiss_Return!$B:$P,MATCH(D$2,[1]Burgiss_Return!$B$5:$P$5,0),0)</f>
        <v>6.9699999999999998E-2</v>
      </c>
      <c r="E80" s="2">
        <f>VLOOKUP($A80,[1]Burgiss_Return!$B:$P,MATCH(E$2,[1]Burgiss_Return!$B$5:$P$5,0),0)</f>
        <v>1.9400000000000001E-2</v>
      </c>
      <c r="F80" s="2">
        <f>VLOOKUP($A80,[1]Burgiss_Return!$B:$P,MATCH(F$2,[1]Burgiss_Return!$B$5:$P$5,0),0)</f>
        <v>3.4500000000000003E-2</v>
      </c>
      <c r="G80" s="2">
        <f>VLOOKUP($A80,[1]Burgiss_Return!$B:$P,MATCH(G$2,[1]Burgiss_Return!$B$5:$P$5,0),0)</f>
        <v>1.9400000000000001E-2</v>
      </c>
      <c r="H80" s="2">
        <f>VLOOKUP($A80,[1]Burgiss_Return!$B:$P,MATCH(H$2,[1]Burgiss_Return!$B$5:$P$5,0),0)</f>
        <v>1.83E-2</v>
      </c>
      <c r="I80" s="2">
        <f>VLOOKUP($A80,[1]Burgiss_Return!$B:$P,MATCH(I$2,[1]Burgiss_Return!$B$5:$P$5,0),0)</f>
        <v>2.52E-2</v>
      </c>
      <c r="J80" s="2">
        <f>VLOOKUP($A80,[1]Burgiss_Return!$B:$P,MATCH(J$2,[1]Burgiss_Return!$B$5:$P$5,0),0)</f>
        <v>4.9700000000000001E-2</v>
      </c>
      <c r="K80" s="2">
        <v>3.1378205571575446E-2</v>
      </c>
      <c r="L80" s="2">
        <v>1.7624999999999998E-2</v>
      </c>
      <c r="M80" s="2">
        <f>VLOOKUP($A80,[1]Burgiss_Return!$B:$P,MATCH(M$2,[1]Burgiss_Return!$B$5:$P$5,0),0)</f>
        <v>1.7600000000000001E-2</v>
      </c>
      <c r="N80" s="2">
        <v>1.7624999999999998E-2</v>
      </c>
      <c r="O80" s="2">
        <v>2.7373999999999999E-2</v>
      </c>
      <c r="P80" s="2">
        <v>1.7826399999999999E-2</v>
      </c>
      <c r="Q80" s="2">
        <v>0.1485803551460203</v>
      </c>
      <c r="R80" s="2">
        <f>VLOOKUP($A80,[1]Burgiss_Return!$B:$P,MATCH(R$2,[1]Burgiss_Return!$B$5:$P$5,0),0)</f>
        <v>2.5399999999999999E-2</v>
      </c>
      <c r="S80" s="2">
        <f>VLOOKUP($A80,[1]Burgiss_Return!$B:$P,MATCH(S$2,[1]Burgiss_Return!$B$5:$P$5,0),0)</f>
        <v>2.5399999999999999E-2</v>
      </c>
      <c r="T80" s="2">
        <f>VLOOKUP($A80,[1]Burgiss_Return!$B:$P,MATCH(T$2,[1]Burgiss_Return!$B$5:$P$5,0),0)</f>
        <v>2.5399999999999999E-2</v>
      </c>
      <c r="U80" s="2">
        <f>VLOOKUP($A80,[1]Burgiss_Return!$B:$P,MATCH(U$2,[1]Burgiss_Return!$B$5:$P$5,0),0)</f>
        <v>2.5399999999999999E-2</v>
      </c>
      <c r="V80" s="2">
        <v>5.7717536954798421E-2</v>
      </c>
    </row>
    <row r="81" spans="1:22" x14ac:dyDescent="0.2">
      <c r="A81" s="3">
        <v>43646</v>
      </c>
      <c r="B81" s="2">
        <f>VLOOKUP($A81,[1]Burgiss_Return!$B:$P,MATCH(B$2,[1]Burgiss_Return!$B$5:$P$5,0),0)</f>
        <v>4.4499999999999998E-2</v>
      </c>
      <c r="C81" s="2">
        <f>VLOOKUP($A81,[1]Burgiss_Return!$B:$P,MATCH(C$2,[1]Burgiss_Return!$B$5:$P$5,0),0)</f>
        <v>8.7599999999999997E-2</v>
      </c>
      <c r="D81" s="2">
        <f>VLOOKUP($A81,[1]Burgiss_Return!$B:$P,MATCH(D$2,[1]Burgiss_Return!$B$5:$P$5,0),0)</f>
        <v>8.7599999999999997E-2</v>
      </c>
      <c r="E81" s="2">
        <f>VLOOKUP($A81,[1]Burgiss_Return!$B:$P,MATCH(E$2,[1]Burgiss_Return!$B$5:$P$5,0),0)</f>
        <v>4.1599999999999998E-2</v>
      </c>
      <c r="F81" s="2">
        <f>VLOOKUP($A81,[1]Burgiss_Return!$B:$P,MATCH(F$2,[1]Burgiss_Return!$B$5:$P$5,0),0)</f>
        <v>2.87E-2</v>
      </c>
      <c r="G81" s="2">
        <f>VLOOKUP($A81,[1]Burgiss_Return!$B:$P,MATCH(G$2,[1]Burgiss_Return!$B$5:$P$5,0),0)</f>
        <v>4.1599999999999998E-2</v>
      </c>
      <c r="H81" s="2">
        <f>VLOOKUP($A81,[1]Burgiss_Return!$B:$P,MATCH(H$2,[1]Burgiss_Return!$B$5:$P$5,0),0)</f>
        <v>2.3099999999999999E-2</v>
      </c>
      <c r="I81" s="2">
        <f>VLOOKUP($A81,[1]Burgiss_Return!$B:$P,MATCH(I$2,[1]Burgiss_Return!$B$5:$P$5,0),0)</f>
        <v>1.3599999999999999E-2</v>
      </c>
      <c r="J81" s="2">
        <f>VLOOKUP($A81,[1]Burgiss_Return!$B:$P,MATCH(J$2,[1]Burgiss_Return!$B$5:$P$5,0),0)</f>
        <v>1.6799999999999999E-2</v>
      </c>
      <c r="K81" s="2">
        <v>1.4690330300256793E-2</v>
      </c>
      <c r="L81" s="2">
        <v>7.8969999999999995E-3</v>
      </c>
      <c r="M81" s="2">
        <f>VLOOKUP($A81,[1]Burgiss_Return!$B:$P,MATCH(M$2,[1]Burgiss_Return!$B$5:$P$5,0),0)</f>
        <v>2.3300000000000001E-2</v>
      </c>
      <c r="N81" s="2">
        <v>7.8969999999999995E-3</v>
      </c>
      <c r="O81" s="2">
        <v>3.1999E-2</v>
      </c>
      <c r="P81" s="2">
        <v>2.1618800000000001E-2</v>
      </c>
      <c r="Q81" s="2">
        <v>2.0217713995711595E-3</v>
      </c>
      <c r="R81" s="2">
        <f>VLOOKUP($A81,[1]Burgiss_Return!$B:$P,MATCH(R$2,[1]Burgiss_Return!$B$5:$P$5,0),0)</f>
        <v>1.5299999999999999E-2</v>
      </c>
      <c r="S81" s="2">
        <f>VLOOKUP($A81,[1]Burgiss_Return!$B:$P,MATCH(S$2,[1]Burgiss_Return!$B$5:$P$5,0),0)</f>
        <v>1.5299999999999999E-2</v>
      </c>
      <c r="T81" s="2">
        <f>VLOOKUP($A81,[1]Burgiss_Return!$B:$P,MATCH(T$2,[1]Burgiss_Return!$B$5:$P$5,0),0)</f>
        <v>1.5299999999999999E-2</v>
      </c>
      <c r="U81" s="2">
        <f>VLOOKUP($A81,[1]Burgiss_Return!$B:$P,MATCH(U$2,[1]Burgiss_Return!$B$5:$P$5,0),0)</f>
        <v>1.5299999999999999E-2</v>
      </c>
      <c r="V81" s="2">
        <v>4.3716753114097395E-2</v>
      </c>
    </row>
    <row r="82" spans="1:22" x14ac:dyDescent="0.2">
      <c r="A82" s="3">
        <v>43738</v>
      </c>
      <c r="B82" s="2">
        <f>VLOOKUP($A82,[1]Burgiss_Return!$B:$P,MATCH(B$2,[1]Burgiss_Return!$B$5:$P$5,0),0)</f>
        <v>1.67E-2</v>
      </c>
      <c r="C82" s="2">
        <f>VLOOKUP($A82,[1]Burgiss_Return!$B:$P,MATCH(C$2,[1]Burgiss_Return!$B$5:$P$5,0),0)</f>
        <v>4.0000000000000002E-4</v>
      </c>
      <c r="D82" s="2">
        <f>VLOOKUP($A82,[1]Burgiss_Return!$B:$P,MATCH(D$2,[1]Burgiss_Return!$B$5:$P$5,0),0)</f>
        <v>4.0000000000000002E-4</v>
      </c>
      <c r="E82" s="2">
        <f>VLOOKUP($A82,[1]Burgiss_Return!$B:$P,MATCH(E$2,[1]Burgiss_Return!$B$5:$P$5,0),0)</f>
        <v>2.1700000000000001E-2</v>
      </c>
      <c r="F82" s="2">
        <f>VLOOKUP($A82,[1]Burgiss_Return!$B:$P,MATCH(F$2,[1]Burgiss_Return!$B$5:$P$5,0),0)</f>
        <v>8.6999999999999994E-3</v>
      </c>
      <c r="G82" s="2">
        <f>VLOOKUP($A82,[1]Burgiss_Return!$B:$P,MATCH(G$2,[1]Burgiss_Return!$B$5:$P$5,0),0)</f>
        <v>2.1700000000000001E-2</v>
      </c>
      <c r="H82" s="2">
        <f>VLOOKUP($A82,[1]Burgiss_Return!$B:$P,MATCH(H$2,[1]Burgiss_Return!$B$5:$P$5,0),0)</f>
        <v>1.1599999999999999E-2</v>
      </c>
      <c r="I82" s="2">
        <f>VLOOKUP($A82,[1]Burgiss_Return!$B:$P,MATCH(I$2,[1]Burgiss_Return!$B$5:$P$5,0),0)</f>
        <v>-1E-3</v>
      </c>
      <c r="J82" s="2">
        <f>VLOOKUP($A82,[1]Burgiss_Return!$B:$P,MATCH(J$2,[1]Burgiss_Return!$B$5:$P$5,0),0)</f>
        <v>1.2E-2</v>
      </c>
      <c r="K82" s="2">
        <v>-5.0329001060467338E-4</v>
      </c>
      <c r="L82" s="2">
        <v>-2.66E-3</v>
      </c>
      <c r="M82" s="2">
        <f>VLOOKUP($A82,[1]Burgiss_Return!$B:$P,MATCH(M$2,[1]Burgiss_Return!$B$5:$P$5,0),0)</f>
        <v>1.7500000000000002E-2</v>
      </c>
      <c r="N82" s="2">
        <v>-2.66E-3</v>
      </c>
      <c r="O82" s="2">
        <v>2.3157000000000001E-2</v>
      </c>
      <c r="P82" s="2">
        <v>2.1453300000000002E-2</v>
      </c>
      <c r="Q82" s="2">
        <v>4.8668336030725623E-2</v>
      </c>
      <c r="R82" s="2">
        <f>VLOOKUP($A82,[1]Burgiss_Return!$B:$P,MATCH(R$2,[1]Burgiss_Return!$B$5:$P$5,0),0)</f>
        <v>-1.83E-2</v>
      </c>
      <c r="S82" s="2">
        <f>VLOOKUP($A82,[1]Burgiss_Return!$B:$P,MATCH(S$2,[1]Burgiss_Return!$B$5:$P$5,0),0)</f>
        <v>-1.83E-2</v>
      </c>
      <c r="T82" s="2">
        <f>VLOOKUP($A82,[1]Burgiss_Return!$B:$P,MATCH(T$2,[1]Burgiss_Return!$B$5:$P$5,0),0)</f>
        <v>-1.83E-2</v>
      </c>
      <c r="U82" s="2">
        <f>VLOOKUP($A82,[1]Burgiss_Return!$B:$P,MATCH(U$2,[1]Burgiss_Return!$B$5:$P$5,0),0)</f>
        <v>-1.83E-2</v>
      </c>
      <c r="V82" s="2">
        <v>3.4445126801996739E-2</v>
      </c>
    </row>
    <row r="83" spans="1:22" x14ac:dyDescent="0.2">
      <c r="A83" s="3">
        <v>43830</v>
      </c>
      <c r="B83" s="2">
        <f>VLOOKUP($A83,[1]Burgiss_Return!$B:$P,MATCH(B$2,[1]Burgiss_Return!$B$5:$P$5,0),0)</f>
        <v>5.7599999999999998E-2</v>
      </c>
      <c r="C83" s="2">
        <f>VLOOKUP($A83,[1]Burgiss_Return!$B:$P,MATCH(C$2,[1]Burgiss_Return!$B$5:$P$5,0),0)</f>
        <v>5.9200000000000003E-2</v>
      </c>
      <c r="D83" s="2">
        <f>VLOOKUP($A83,[1]Burgiss_Return!$B:$P,MATCH(D$2,[1]Burgiss_Return!$B$5:$P$5,0),0)</f>
        <v>5.9200000000000003E-2</v>
      </c>
      <c r="E83" s="2">
        <f>VLOOKUP($A83,[1]Burgiss_Return!$B:$P,MATCH(E$2,[1]Burgiss_Return!$B$5:$P$5,0),0)</f>
        <v>5.7000000000000002E-2</v>
      </c>
      <c r="F83" s="2">
        <f>VLOOKUP($A83,[1]Burgiss_Return!$B:$P,MATCH(F$2,[1]Burgiss_Return!$B$5:$P$5,0),0)</f>
        <v>4.1300000000000003E-2</v>
      </c>
      <c r="G83" s="2">
        <f>VLOOKUP($A83,[1]Burgiss_Return!$B:$P,MATCH(G$2,[1]Burgiss_Return!$B$5:$P$5,0),0)</f>
        <v>5.7000000000000002E-2</v>
      </c>
      <c r="H83" s="2">
        <f>VLOOKUP($A83,[1]Burgiss_Return!$B:$P,MATCH(H$2,[1]Burgiss_Return!$B$5:$P$5,0),0)</f>
        <v>1.8499999999999999E-2</v>
      </c>
      <c r="I83" s="2">
        <f>VLOOKUP($A83,[1]Burgiss_Return!$B:$P,MATCH(I$2,[1]Burgiss_Return!$B$5:$P$5,0),0)</f>
        <v>3.8399999999999997E-2</v>
      </c>
      <c r="J83" s="2">
        <f>VLOOKUP($A83,[1]Burgiss_Return!$B:$P,MATCH(J$2,[1]Burgiss_Return!$B$5:$P$5,0),0)</f>
        <v>4.1399999999999999E-2</v>
      </c>
      <c r="K83" s="2">
        <v>1.6262469362597898E-2</v>
      </c>
      <c r="L83" s="2">
        <v>3.6252E-2</v>
      </c>
      <c r="M83" s="2">
        <f>VLOOKUP($A83,[1]Burgiss_Return!$B:$P,MATCH(M$2,[1]Burgiss_Return!$B$5:$P$5,0),0)</f>
        <v>3.5499999999999997E-2</v>
      </c>
      <c r="N83" s="2">
        <v>3.6252E-2</v>
      </c>
      <c r="O83" s="2">
        <v>-8.2799999999999996E-4</v>
      </c>
      <c r="P83" s="2">
        <v>1.85915E-2</v>
      </c>
      <c r="Q83" s="2">
        <v>1.9641659112898058E-2</v>
      </c>
      <c r="R83" s="2">
        <f>VLOOKUP($A83,[1]Burgiss_Return!$B:$P,MATCH(R$2,[1]Burgiss_Return!$B$5:$P$5,0),0)</f>
        <v>4.6199999999999998E-2</v>
      </c>
      <c r="S83" s="2">
        <f>VLOOKUP($A83,[1]Burgiss_Return!$B:$P,MATCH(S$2,[1]Burgiss_Return!$B$5:$P$5,0),0)</f>
        <v>4.6199999999999998E-2</v>
      </c>
      <c r="T83" s="2">
        <f>VLOOKUP($A83,[1]Burgiss_Return!$B:$P,MATCH(T$2,[1]Burgiss_Return!$B$5:$P$5,0),0)</f>
        <v>4.6199999999999998E-2</v>
      </c>
      <c r="U83" s="2">
        <f>VLOOKUP($A83,[1]Burgiss_Return!$B:$P,MATCH(U$2,[1]Burgiss_Return!$B$5:$P$5,0),0)</f>
        <v>4.6199999999999998E-2</v>
      </c>
      <c r="V83" s="2">
        <v>7.3106069702644216E-3</v>
      </c>
    </row>
    <row r="84" spans="1:22" x14ac:dyDescent="0.2">
      <c r="A84" s="3">
        <v>43921</v>
      </c>
      <c r="B84" s="2">
        <f>VLOOKUP($A84,[1]Burgiss_Return!$B:$P,MATCH(B$2,[1]Burgiss_Return!$B$5:$P$5,0),0)</f>
        <v>-0.10050000000000001</v>
      </c>
      <c r="C84" s="2">
        <f>VLOOKUP($A84,[1]Burgiss_Return!$B:$P,MATCH(C$2,[1]Burgiss_Return!$B$5:$P$5,0),0)</f>
        <v>-3.85E-2</v>
      </c>
      <c r="D84" s="2">
        <f>VLOOKUP($A84,[1]Burgiss_Return!$B:$P,MATCH(D$2,[1]Burgiss_Return!$B$5:$P$5,0),0)</f>
        <v>-3.85E-2</v>
      </c>
      <c r="E84" s="2">
        <f>VLOOKUP($A84,[1]Burgiss_Return!$B:$P,MATCH(E$2,[1]Burgiss_Return!$B$5:$P$5,0),0)</f>
        <v>-6.3100000000000003E-2</v>
      </c>
      <c r="F84" s="2">
        <f>VLOOKUP($A84,[1]Burgiss_Return!$B:$P,MATCH(F$2,[1]Burgiss_Return!$B$5:$P$5,0),0)</f>
        <v>-4.7300000000000002E-2</v>
      </c>
      <c r="G84" s="2">
        <f>VLOOKUP($A84,[1]Burgiss_Return!$B:$P,MATCH(G$2,[1]Burgiss_Return!$B$5:$P$5,0),0)</f>
        <v>-6.3100000000000003E-2</v>
      </c>
      <c r="H84" s="2">
        <f>VLOOKUP($A84,[1]Burgiss_Return!$B:$P,MATCH(H$2,[1]Burgiss_Return!$B$5:$P$5,0),0)</f>
        <v>-4.1099999999999998E-2</v>
      </c>
      <c r="I84" s="2">
        <f>VLOOKUP($A84,[1]Burgiss_Return!$B:$P,MATCH(I$2,[1]Burgiss_Return!$B$5:$P$5,0),0)</f>
        <v>-0.1454</v>
      </c>
      <c r="J84" s="2">
        <f>VLOOKUP($A84,[1]Burgiss_Return!$B:$P,MATCH(J$2,[1]Burgiss_Return!$B$5:$P$5,0),0)</f>
        <v>-5.8999999999999997E-2</v>
      </c>
      <c r="K84" s="2">
        <v>-7.1926845580418286E-2</v>
      </c>
      <c r="L84" s="2">
        <v>-3.3071000000000003E-2</v>
      </c>
      <c r="M84" s="2">
        <f>VLOOKUP($A84,[1]Burgiss_Return!$B:$P,MATCH(M$2,[1]Burgiss_Return!$B$5:$P$5,0),0)</f>
        <v>-5.28E-2</v>
      </c>
      <c r="N84" s="2">
        <v>-3.3071000000000003E-2</v>
      </c>
      <c r="O84" s="2">
        <v>-9.2479999999999993E-3</v>
      </c>
      <c r="P84" s="2">
        <v>6.2294000000000004E-3</v>
      </c>
      <c r="Q84" s="2">
        <v>-0.28335230531868139</v>
      </c>
      <c r="R84" s="2">
        <f>VLOOKUP($A84,[1]Burgiss_Return!$B:$P,MATCH(R$2,[1]Burgiss_Return!$B$5:$P$5,0),0)</f>
        <v>-4.6300000000000001E-2</v>
      </c>
      <c r="S84" s="2">
        <f>VLOOKUP($A84,[1]Burgiss_Return!$B:$P,MATCH(S$2,[1]Burgiss_Return!$B$5:$P$5,0),0)</f>
        <v>-4.6300000000000001E-2</v>
      </c>
      <c r="T84" s="2">
        <f>VLOOKUP($A84,[1]Burgiss_Return!$B:$P,MATCH(T$2,[1]Burgiss_Return!$B$5:$P$5,0),0)</f>
        <v>-4.6300000000000001E-2</v>
      </c>
      <c r="U84" s="2">
        <f>VLOOKUP($A84,[1]Burgiss_Return!$B:$P,MATCH(U$2,[1]Burgiss_Return!$B$5:$P$5,0),0)</f>
        <v>-4.6300000000000001E-2</v>
      </c>
      <c r="V84" s="2">
        <v>-7.3832956594972687E-2</v>
      </c>
    </row>
    <row r="85" spans="1:22" x14ac:dyDescent="0.2">
      <c r="A85" s="3">
        <v>44012</v>
      </c>
      <c r="B85" s="2">
        <f>VLOOKUP($A85,[1]Burgiss_Return!$B:$P,MATCH(B$2,[1]Burgiss_Return!$B$5:$P$5,0),0)</f>
        <v>9.8000000000000004E-2</v>
      </c>
      <c r="C85" s="2">
        <f>VLOOKUP($A85,[1]Burgiss_Return!$B:$P,MATCH(C$2,[1]Burgiss_Return!$B$5:$P$5,0),0)</f>
        <v>0.11890000000000001</v>
      </c>
      <c r="D85" s="2">
        <f>VLOOKUP($A85,[1]Burgiss_Return!$B:$P,MATCH(D$2,[1]Burgiss_Return!$B$5:$P$5,0),0)</f>
        <v>0.11890000000000001</v>
      </c>
      <c r="E85" s="2">
        <f>VLOOKUP($A85,[1]Burgiss_Return!$B:$P,MATCH(E$2,[1]Burgiss_Return!$B$5:$P$5,0),0)</f>
        <v>-4.4999999999999997E-3</v>
      </c>
      <c r="F85" s="2">
        <f>VLOOKUP($A85,[1]Burgiss_Return!$B:$P,MATCH(F$2,[1]Burgiss_Return!$B$5:$P$5,0),0)</f>
        <v>0.08</v>
      </c>
      <c r="G85" s="2">
        <f>VLOOKUP($A85,[1]Burgiss_Return!$B:$P,MATCH(G$2,[1]Burgiss_Return!$B$5:$P$5,0),0)</f>
        <v>-4.4999999999999997E-3</v>
      </c>
      <c r="H85" s="2">
        <f>VLOOKUP($A85,[1]Burgiss_Return!$B:$P,MATCH(H$2,[1]Burgiss_Return!$B$5:$P$5,0),0)</f>
        <v>2.24E-2</v>
      </c>
      <c r="I85" s="2">
        <f>VLOOKUP($A85,[1]Burgiss_Return!$B:$P,MATCH(I$2,[1]Burgiss_Return!$B$5:$P$5,0),0)</f>
        <v>8.8499999999999995E-2</v>
      </c>
      <c r="J85" s="2">
        <f>VLOOKUP($A85,[1]Burgiss_Return!$B:$P,MATCH(J$2,[1]Burgiss_Return!$B$5:$P$5,0),0)</f>
        <v>0.1024</v>
      </c>
      <c r="K85" s="2">
        <v>5.5680121963189277E-2</v>
      </c>
      <c r="L85" s="2">
        <v>6.0300000000000002E-4</v>
      </c>
      <c r="M85" s="2">
        <f>VLOOKUP($A85,[1]Burgiss_Return!$B:$P,MATCH(M$2,[1]Burgiss_Return!$B$5:$P$5,0),0)</f>
        <v>-3.3999999999999998E-3</v>
      </c>
      <c r="N85" s="2">
        <v>6.0300000000000002E-4</v>
      </c>
      <c r="O85" s="2">
        <v>4.2736000000000003E-2</v>
      </c>
      <c r="P85" s="2">
        <v>1.48317E-2</v>
      </c>
      <c r="Q85" s="2">
        <v>0.10329959547522516</v>
      </c>
      <c r="R85" s="2">
        <f>VLOOKUP($A85,[1]Burgiss_Return!$B:$P,MATCH(R$2,[1]Burgiss_Return!$B$5:$P$5,0),0)</f>
        <v>3.5000000000000003E-2</v>
      </c>
      <c r="S85" s="2">
        <f>VLOOKUP($A85,[1]Burgiss_Return!$B:$P,MATCH(S$2,[1]Burgiss_Return!$B$5:$P$5,0),0)</f>
        <v>3.5000000000000003E-2</v>
      </c>
      <c r="T85" s="2">
        <f>VLOOKUP($A85,[1]Burgiss_Return!$B:$P,MATCH(T$2,[1]Burgiss_Return!$B$5:$P$5,0),0)</f>
        <v>3.5000000000000003E-2</v>
      </c>
      <c r="U85" s="2">
        <f>VLOOKUP($A85,[1]Burgiss_Return!$B:$P,MATCH(U$2,[1]Burgiss_Return!$B$5:$P$5,0),0)</f>
        <v>3.5000000000000003E-2</v>
      </c>
      <c r="V85" s="2">
        <v>0.13741932664500012</v>
      </c>
    </row>
    <row r="86" spans="1:22" x14ac:dyDescent="0.2">
      <c r="A86" s="3">
        <v>44104</v>
      </c>
      <c r="B86" s="2">
        <f>VLOOKUP($A86,[1]Burgiss_Return!$B:$P,MATCH(B$2,[1]Burgiss_Return!$B$5:$P$5,0),0)</f>
        <v>0.1142</v>
      </c>
      <c r="C86" s="2">
        <f>VLOOKUP($A86,[1]Burgiss_Return!$B:$P,MATCH(C$2,[1]Burgiss_Return!$B$5:$P$5,0),0)</f>
        <v>0.15090000000000001</v>
      </c>
      <c r="D86" s="2">
        <f>VLOOKUP($A86,[1]Burgiss_Return!$B:$P,MATCH(D$2,[1]Burgiss_Return!$B$5:$P$5,0),0)</f>
        <v>0.15090000000000001</v>
      </c>
      <c r="E86" s="2">
        <f>VLOOKUP($A86,[1]Burgiss_Return!$B:$P,MATCH(E$2,[1]Burgiss_Return!$B$5:$P$5,0),0)</f>
        <v>8.2199999999999995E-2</v>
      </c>
      <c r="F86" s="2">
        <f>VLOOKUP($A86,[1]Burgiss_Return!$B:$P,MATCH(F$2,[1]Burgiss_Return!$B$5:$P$5,0),0)</f>
        <v>8.7800000000000003E-2</v>
      </c>
      <c r="G86" s="2">
        <f>VLOOKUP($A86,[1]Burgiss_Return!$B:$P,MATCH(G$2,[1]Burgiss_Return!$B$5:$P$5,0),0)</f>
        <v>8.2199999999999995E-2</v>
      </c>
      <c r="H86" s="2">
        <f>VLOOKUP($A86,[1]Burgiss_Return!$B:$P,MATCH(H$2,[1]Burgiss_Return!$B$5:$P$5,0),0)</f>
        <v>4.9500000000000002E-2</v>
      </c>
      <c r="I86" s="2">
        <f>VLOOKUP($A86,[1]Burgiss_Return!$B:$P,MATCH(I$2,[1]Burgiss_Return!$B$5:$P$5,0),0)</f>
        <v>5.5399999999999998E-2</v>
      </c>
      <c r="J86" s="2">
        <f>VLOOKUP($A86,[1]Burgiss_Return!$B:$P,MATCH(J$2,[1]Burgiss_Return!$B$5:$P$5,0),0)</f>
        <v>9.6699999999999994E-2</v>
      </c>
      <c r="K86" s="2">
        <v>2.6719634218004051E-2</v>
      </c>
      <c r="L86" s="2">
        <v>2.3018E-2</v>
      </c>
      <c r="M86" s="2">
        <f>VLOOKUP($A86,[1]Burgiss_Return!$B:$P,MATCH(M$2,[1]Burgiss_Return!$B$5:$P$5,0),0)</f>
        <v>3.09E-2</v>
      </c>
      <c r="N86" s="2">
        <v>2.3018E-2</v>
      </c>
      <c r="O86" s="2">
        <v>1.7447000000000001E-2</v>
      </c>
      <c r="P86" s="2">
        <v>1.5931500000000001E-2</v>
      </c>
      <c r="Q86" s="2">
        <v>2.3257741668998522E-2</v>
      </c>
      <c r="R86" s="2">
        <f>VLOOKUP($A86,[1]Burgiss_Return!$B:$P,MATCH(R$2,[1]Burgiss_Return!$B$5:$P$5,0),0)</f>
        <v>5.0900000000000001E-2</v>
      </c>
      <c r="S86" s="2">
        <f>VLOOKUP($A86,[1]Burgiss_Return!$B:$P,MATCH(S$2,[1]Burgiss_Return!$B$5:$P$5,0),0)</f>
        <v>5.0900000000000001E-2</v>
      </c>
      <c r="T86" s="2">
        <f>VLOOKUP($A86,[1]Burgiss_Return!$B:$P,MATCH(T$2,[1]Burgiss_Return!$B$5:$P$5,0),0)</f>
        <v>5.0900000000000001E-2</v>
      </c>
      <c r="U86" s="2">
        <f>VLOOKUP($A86,[1]Burgiss_Return!$B:$P,MATCH(U$2,[1]Burgiss_Return!$B$5:$P$5,0),0)</f>
        <v>5.0900000000000001E-2</v>
      </c>
      <c r="V86" s="2">
        <v>1.1319318788269195E-2</v>
      </c>
    </row>
    <row r="87" spans="1:22" x14ac:dyDescent="0.2">
      <c r="A87" s="3">
        <v>44196</v>
      </c>
      <c r="B87" s="2">
        <f>VLOOKUP($A87,[1]Burgiss_Return!$B:$P,MATCH(B$2,[1]Burgiss_Return!$B$5:$P$5,0),0)</f>
        <v>0.1308</v>
      </c>
      <c r="C87" s="2">
        <f>VLOOKUP($A87,[1]Burgiss_Return!$B:$P,MATCH(C$2,[1]Burgiss_Return!$B$5:$P$5,0),0)</f>
        <v>0.33289999999999997</v>
      </c>
      <c r="D87" s="2">
        <f>VLOOKUP($A87,[1]Burgiss_Return!$B:$P,MATCH(D$2,[1]Burgiss_Return!$B$5:$P$5,0),0)</f>
        <v>0.33289999999999997</v>
      </c>
      <c r="E87" s="2">
        <f>VLOOKUP($A87,[1]Burgiss_Return!$B:$P,MATCH(E$2,[1]Burgiss_Return!$B$5:$P$5,0),0)</f>
        <v>0.20810000000000001</v>
      </c>
      <c r="F87" s="2">
        <f>VLOOKUP($A87,[1]Burgiss_Return!$B:$P,MATCH(F$2,[1]Burgiss_Return!$B$5:$P$5,0),0)</f>
        <v>0.18049999999999999</v>
      </c>
      <c r="G87" s="2">
        <f>VLOOKUP($A87,[1]Burgiss_Return!$B:$P,MATCH(G$2,[1]Burgiss_Return!$B$5:$P$5,0),0)</f>
        <v>0.20810000000000001</v>
      </c>
      <c r="H87" s="2">
        <f>VLOOKUP($A87,[1]Burgiss_Return!$B:$P,MATCH(H$2,[1]Burgiss_Return!$B$5:$P$5,0),0)</f>
        <v>5.1900000000000002E-2</v>
      </c>
      <c r="I87" s="2">
        <f>VLOOKUP($A87,[1]Burgiss_Return!$B:$P,MATCH(I$2,[1]Burgiss_Return!$B$5:$P$5,0),0)</f>
        <v>7.5499999999999998E-2</v>
      </c>
      <c r="J87" s="2">
        <f>VLOOKUP($A87,[1]Burgiss_Return!$B:$P,MATCH(J$2,[1]Burgiss_Return!$B$5:$P$5,0),0)</f>
        <v>0.17660000000000001</v>
      </c>
      <c r="K87" s="2">
        <v>5.8387620809071006E-2</v>
      </c>
      <c r="L87" s="2">
        <v>4.3459999999999999E-2</v>
      </c>
      <c r="M87" s="2">
        <f>VLOOKUP($A87,[1]Burgiss_Return!$B:$P,MATCH(M$2,[1]Burgiss_Return!$B$5:$P$5,0),0)</f>
        <v>4.1599999999999998E-2</v>
      </c>
      <c r="N87" s="2">
        <v>4.3459999999999999E-2</v>
      </c>
      <c r="O87" s="2">
        <v>1.16279E-2</v>
      </c>
      <c r="P87" s="2">
        <v>1.7310499999999999E-2</v>
      </c>
      <c r="Q87" s="2">
        <v>0.13486409000104693</v>
      </c>
      <c r="R87" s="2">
        <f>VLOOKUP($A87,[1]Burgiss_Return!$B:$P,MATCH(R$2,[1]Burgiss_Return!$B$5:$P$5,0),0)</f>
        <v>6.9599999999999995E-2</v>
      </c>
      <c r="S87" s="2">
        <f>VLOOKUP($A87,[1]Burgiss_Return!$B:$P,MATCH(S$2,[1]Burgiss_Return!$B$5:$P$5,0),0)</f>
        <v>6.9599999999999995E-2</v>
      </c>
      <c r="T87" s="2">
        <f>VLOOKUP($A87,[1]Burgiss_Return!$B:$P,MATCH(T$2,[1]Burgiss_Return!$B$5:$P$5,0),0)</f>
        <v>6.9599999999999995E-2</v>
      </c>
      <c r="U87" s="2">
        <f>VLOOKUP($A87,[1]Burgiss_Return!$B:$P,MATCH(U$2,[1]Burgiss_Return!$B$5:$P$5,0),0)</f>
        <v>6.9599999999999995E-2</v>
      </c>
      <c r="V87" s="2">
        <v>4.3254526464026277E-2</v>
      </c>
    </row>
    <row r="88" spans="1:22" x14ac:dyDescent="0.2">
      <c r="A88" s="3">
        <v>44286</v>
      </c>
      <c r="B88" s="2">
        <f>VLOOKUP($A88,[1]Burgiss_Return!$B:$P,MATCH(B$2,[1]Burgiss_Return!$B$5:$P$5,0),0)</f>
        <v>8.7800000000000003E-2</v>
      </c>
      <c r="C88" s="2">
        <f>VLOOKUP($A88,[1]Burgiss_Return!$B:$P,MATCH(C$2,[1]Burgiss_Return!$B$5:$P$5,0),0)</f>
        <v>0.17519999999999999</v>
      </c>
      <c r="D88" s="2">
        <f>VLOOKUP($A88,[1]Burgiss_Return!$B:$P,MATCH(D$2,[1]Burgiss_Return!$B$5:$P$5,0),0)</f>
        <v>0.17519999999999999</v>
      </c>
      <c r="E88" s="2">
        <f>VLOOKUP($A88,[1]Burgiss_Return!$B:$P,MATCH(E$2,[1]Burgiss_Return!$B$5:$P$5,0),0)</f>
        <v>7.0699999999999999E-2</v>
      </c>
      <c r="F88" s="2">
        <f>VLOOKUP($A88,[1]Burgiss_Return!$B:$P,MATCH(F$2,[1]Burgiss_Return!$B$5:$P$5,0),0)</f>
        <v>0.15279999999999999</v>
      </c>
      <c r="G88" s="2">
        <f>VLOOKUP($A88,[1]Burgiss_Return!$B:$P,MATCH(G$2,[1]Burgiss_Return!$B$5:$P$5,0),0)</f>
        <v>7.0699999999999999E-2</v>
      </c>
      <c r="H88" s="2">
        <f>VLOOKUP($A88,[1]Burgiss_Return!$B:$P,MATCH(H$2,[1]Burgiss_Return!$B$5:$P$5,0),0)</f>
        <v>1.67E-2</v>
      </c>
      <c r="I88" s="2">
        <f>VLOOKUP($A88,[1]Burgiss_Return!$B:$P,MATCH(I$2,[1]Burgiss_Return!$B$5:$P$5,0),0)</f>
        <v>7.5899999999999995E-2</v>
      </c>
      <c r="J88" s="2">
        <f>VLOOKUP($A88,[1]Burgiss_Return!$B:$P,MATCH(J$2,[1]Burgiss_Return!$B$5:$P$5,0),0)</f>
        <v>4.5900000000000003E-2</v>
      </c>
      <c r="K88" s="2">
        <v>3.5939528165908952E-2</v>
      </c>
      <c r="L88" s="2">
        <v>1.5851000000000001E-2</v>
      </c>
      <c r="M88" s="2">
        <f>VLOOKUP($A88,[1]Burgiss_Return!$B:$P,MATCH(M$2,[1]Burgiss_Return!$B$5:$P$5,0),0)</f>
        <v>2.07E-2</v>
      </c>
      <c r="N88" s="2">
        <v>1.5851000000000001E-2</v>
      </c>
      <c r="O88" s="2">
        <v>-1.222E-2</v>
      </c>
      <c r="P88" s="2">
        <v>2.01624E-2</v>
      </c>
      <c r="Q88" s="2">
        <v>6.1093731799480855E-2</v>
      </c>
      <c r="R88" s="2">
        <f>VLOOKUP($A88,[1]Burgiss_Return!$B:$P,MATCH(R$2,[1]Burgiss_Return!$B$5:$P$5,0),0)</f>
        <v>6.8999999999999999E-3</v>
      </c>
      <c r="S88" s="2">
        <f>VLOOKUP($A88,[1]Burgiss_Return!$B:$P,MATCH(S$2,[1]Burgiss_Return!$B$5:$P$5,0),0)</f>
        <v>6.8999999999999999E-3</v>
      </c>
      <c r="T88" s="2">
        <f>VLOOKUP($A88,[1]Burgiss_Return!$B:$P,MATCH(T$2,[1]Burgiss_Return!$B$5:$P$5,0),0)</f>
        <v>6.8999999999999999E-3</v>
      </c>
      <c r="U88" s="2">
        <f>VLOOKUP($A88,[1]Burgiss_Return!$B:$P,MATCH(U$2,[1]Burgiss_Return!$B$5:$P$5,0),0)</f>
        <v>6.8999999999999999E-3</v>
      </c>
      <c r="V88" s="2">
        <v>-5.0953085030389422E-2</v>
      </c>
    </row>
    <row r="89" spans="1:22" x14ac:dyDescent="0.2">
      <c r="A89" s="3">
        <v>44377</v>
      </c>
      <c r="B89" s="2">
        <f>VLOOKUP($A89,[1]Burgiss_Return!$B:$P,MATCH(B$2,[1]Burgiss_Return!$B$5:$P$5,0),0)</f>
        <v>0.12759999999999999</v>
      </c>
      <c r="C89" s="2">
        <f>VLOOKUP($A89,[1]Burgiss_Return!$B:$P,MATCH(C$2,[1]Burgiss_Return!$B$5:$P$5,0),0)</f>
        <v>0.13519999999999999</v>
      </c>
      <c r="D89" s="2">
        <f>VLOOKUP($A89,[1]Burgiss_Return!$B:$P,MATCH(D$2,[1]Burgiss_Return!$B$5:$P$5,0),0)</f>
        <v>0.13519999999999999</v>
      </c>
      <c r="E89" s="2">
        <f>VLOOKUP($A89,[1]Burgiss_Return!$B:$P,MATCH(E$2,[1]Burgiss_Return!$B$5:$P$5,0),0)</f>
        <v>0.14399999999999999</v>
      </c>
      <c r="F89" s="2">
        <f>VLOOKUP($A89,[1]Burgiss_Return!$B:$P,MATCH(F$2,[1]Burgiss_Return!$B$5:$P$5,0),0)</f>
        <v>9.1899999999999996E-2</v>
      </c>
      <c r="G89" s="2">
        <f>VLOOKUP($A89,[1]Burgiss_Return!$B:$P,MATCH(G$2,[1]Burgiss_Return!$B$5:$P$5,0),0)</f>
        <v>0.14399999999999999</v>
      </c>
      <c r="H89" s="2">
        <f>VLOOKUP($A89,[1]Burgiss_Return!$B:$P,MATCH(H$2,[1]Burgiss_Return!$B$5:$P$5,0),0)</f>
        <v>3.0599999999999999E-2</v>
      </c>
      <c r="I89" s="2">
        <f>VLOOKUP($A89,[1]Burgiss_Return!$B:$P,MATCH(I$2,[1]Burgiss_Return!$B$5:$P$5,0),0)</f>
        <v>7.4899999999999994E-2</v>
      </c>
      <c r="J89" s="2">
        <f>VLOOKUP($A89,[1]Burgiss_Return!$B:$P,MATCH(J$2,[1]Burgiss_Return!$B$5:$P$5,0),0)</f>
        <v>8.5199999999999998E-2</v>
      </c>
      <c r="K89" s="2">
        <v>2.1692226806066195E-2</v>
      </c>
      <c r="L89" s="2">
        <v>3.7583999999999999E-2</v>
      </c>
      <c r="M89" s="2">
        <f>VLOOKUP($A89,[1]Burgiss_Return!$B:$P,MATCH(M$2,[1]Burgiss_Return!$B$5:$P$5,0),0)</f>
        <v>7.0999999999999994E-2</v>
      </c>
      <c r="N89" s="2">
        <v>3.7583999999999999E-2</v>
      </c>
      <c r="O89" s="2">
        <v>2.4500000000000001E-2</v>
      </c>
      <c r="P89" s="2">
        <v>2.2757200000000002E-2</v>
      </c>
      <c r="Q89" s="2">
        <v>9.4214190591244806E-2</v>
      </c>
      <c r="R89" s="2">
        <f>VLOOKUP($A89,[1]Burgiss_Return!$B:$P,MATCH(R$2,[1]Burgiss_Return!$B$5:$P$5,0),0)</f>
        <v>3.1300000000000001E-2</v>
      </c>
      <c r="S89" s="2">
        <f>VLOOKUP($A89,[1]Burgiss_Return!$B:$P,MATCH(S$2,[1]Burgiss_Return!$B$5:$P$5,0),0)</f>
        <v>3.1300000000000001E-2</v>
      </c>
      <c r="T89" s="2">
        <f>VLOOKUP($A89,[1]Burgiss_Return!$B:$P,MATCH(T$2,[1]Burgiss_Return!$B$5:$P$5,0),0)</f>
        <v>3.1300000000000001E-2</v>
      </c>
      <c r="U89" s="2">
        <f>VLOOKUP($A89,[1]Burgiss_Return!$B:$P,MATCH(U$2,[1]Burgiss_Return!$B$5:$P$5,0),0)</f>
        <v>3.1300000000000001E-2</v>
      </c>
      <c r="V89" s="2">
        <v>4.3433262987482291E-2</v>
      </c>
    </row>
    <row r="90" spans="1:22" x14ac:dyDescent="0.2">
      <c r="A90" s="3">
        <v>44469</v>
      </c>
      <c r="B90" s="2">
        <f>VLOOKUP($A90,[1]Burgiss_Return!$B:$P,MATCH(B$2,[1]Burgiss_Return!$B$5:$P$5,0),0)</f>
        <v>6.2399999999999997E-2</v>
      </c>
      <c r="C90" s="2">
        <f>VLOOKUP($A90,[1]Burgiss_Return!$B:$P,MATCH(C$2,[1]Burgiss_Return!$B$5:$P$5,0),0)</f>
        <v>0.1061</v>
      </c>
      <c r="D90" s="2">
        <f>VLOOKUP($A90,[1]Burgiss_Return!$B:$P,MATCH(D$2,[1]Burgiss_Return!$B$5:$P$5,0),0)</f>
        <v>0.1061</v>
      </c>
      <c r="E90" s="2">
        <f>VLOOKUP($A90,[1]Burgiss_Return!$B:$P,MATCH(E$2,[1]Burgiss_Return!$B$5:$P$5,0),0)</f>
        <v>9.4299999999999995E-2</v>
      </c>
      <c r="F90" s="2">
        <f>VLOOKUP($A90,[1]Burgiss_Return!$B:$P,MATCH(F$2,[1]Burgiss_Return!$B$5:$P$5,0),0)</f>
        <v>3.09E-2</v>
      </c>
      <c r="G90" s="2">
        <f>VLOOKUP($A90,[1]Burgiss_Return!$B:$P,MATCH(G$2,[1]Burgiss_Return!$B$5:$P$5,0),0)</f>
        <v>9.4299999999999995E-2</v>
      </c>
      <c r="H90" s="2">
        <f>VLOOKUP($A90,[1]Burgiss_Return!$B:$P,MATCH(H$2,[1]Burgiss_Return!$B$5:$P$5,0),0)</f>
        <v>1.7100000000000001E-2</v>
      </c>
      <c r="I90" s="2">
        <f>VLOOKUP($A90,[1]Burgiss_Return!$B:$P,MATCH(I$2,[1]Burgiss_Return!$B$5:$P$5,0),0)</f>
        <v>3.9399999999999998E-2</v>
      </c>
      <c r="J90" s="2">
        <f>VLOOKUP($A90,[1]Burgiss_Return!$B:$P,MATCH(J$2,[1]Burgiss_Return!$B$5:$P$5,0),0)</f>
        <v>-1.6E-2</v>
      </c>
      <c r="K90" s="2">
        <v>9.7507621419097301E-3</v>
      </c>
      <c r="L90" s="2">
        <v>3.7435999999999997E-2</v>
      </c>
      <c r="M90" s="2">
        <f>VLOOKUP($A90,[1]Burgiss_Return!$B:$P,MATCH(M$2,[1]Burgiss_Return!$B$5:$P$5,0),0)</f>
        <v>8.6499999999999994E-2</v>
      </c>
      <c r="N90" s="2">
        <v>3.7435999999999997E-2</v>
      </c>
      <c r="O90" s="2">
        <v>4.1999999999999997E-3</v>
      </c>
      <c r="P90" s="2">
        <v>2.0326199999999999E-2</v>
      </c>
      <c r="Q90" s="2">
        <v>-7.2639862595358373E-3</v>
      </c>
      <c r="R90" s="2">
        <f>VLOOKUP($A90,[1]Burgiss_Return!$B:$P,MATCH(R$2,[1]Burgiss_Return!$B$5:$P$5,0),0)</f>
        <v>1.7299999999999999E-2</v>
      </c>
      <c r="S90" s="2">
        <f>VLOOKUP($A90,[1]Burgiss_Return!$B:$P,MATCH(S$2,[1]Burgiss_Return!$B$5:$P$5,0),0)</f>
        <v>1.7299999999999999E-2</v>
      </c>
      <c r="T90" s="2">
        <f>VLOOKUP($A90,[1]Burgiss_Return!$B:$P,MATCH(T$2,[1]Burgiss_Return!$B$5:$P$5,0),0)</f>
        <v>1.7299999999999999E-2</v>
      </c>
      <c r="U90" s="2">
        <f>VLOOKUP($A90,[1]Burgiss_Return!$B:$P,MATCH(U$2,[1]Burgiss_Return!$B$5:$P$5,0),0)</f>
        <v>1.7299999999999999E-2</v>
      </c>
      <c r="V90" s="2">
        <v>4.5296621845243301E-3</v>
      </c>
    </row>
    <row r="91" spans="1:22" x14ac:dyDescent="0.2">
      <c r="A91" s="3">
        <v>44561</v>
      </c>
      <c r="B91" s="2">
        <f>VLOOKUP($A91,[1]Burgiss_Return!$B:$P,MATCH(B$2,[1]Burgiss_Return!$B$5:$P$5,0),0)</f>
        <v>6.6500000000000004E-2</v>
      </c>
      <c r="C91" s="2">
        <f>VLOOKUP($A91,[1]Burgiss_Return!$B:$P,MATCH(C$2,[1]Burgiss_Return!$B$5:$P$5,0),0)</f>
        <v>8.0799999999999997E-2</v>
      </c>
      <c r="D91" s="2">
        <f>VLOOKUP($A91,[1]Burgiss_Return!$B:$P,MATCH(D$2,[1]Burgiss_Return!$B$5:$P$5,0),0)</f>
        <v>8.0799999999999997E-2</v>
      </c>
      <c r="E91" s="2">
        <f>VLOOKUP($A91,[1]Burgiss_Return!$B:$P,MATCH(E$2,[1]Burgiss_Return!$B$5:$P$5,0),0)</f>
        <v>8.1000000000000003E-2</v>
      </c>
      <c r="F91" s="2">
        <f>VLOOKUP($A91,[1]Burgiss_Return!$B:$P,MATCH(F$2,[1]Burgiss_Return!$B$5:$P$5,0),0)</f>
        <v>4.9399999999999999E-2</v>
      </c>
      <c r="G91" s="2">
        <f>VLOOKUP($A91,[1]Burgiss_Return!$B:$P,MATCH(G$2,[1]Burgiss_Return!$B$5:$P$5,0),0)</f>
        <v>8.1000000000000003E-2</v>
      </c>
      <c r="H91" s="2">
        <f>VLOOKUP($A91,[1]Burgiss_Return!$B:$P,MATCH(H$2,[1]Burgiss_Return!$B$5:$P$5,0),0)</f>
        <v>1.9800000000000002E-2</v>
      </c>
      <c r="I91" s="2">
        <f>VLOOKUP($A91,[1]Burgiss_Return!$B:$P,MATCH(I$2,[1]Burgiss_Return!$B$5:$P$5,0),0)</f>
        <v>3.6299999999999999E-2</v>
      </c>
      <c r="J91" s="2">
        <f>VLOOKUP($A91,[1]Burgiss_Return!$B:$P,MATCH(J$2,[1]Burgiss_Return!$B$5:$P$5,0),0)</f>
        <v>2.8000000000000001E-2</v>
      </c>
      <c r="K91" s="2">
        <v>7.0013706772116269E-3</v>
      </c>
      <c r="L91" s="2">
        <v>6.7935999999999996E-2</v>
      </c>
      <c r="M91" s="2">
        <f>VLOOKUP($A91,[1]Burgiss_Return!$B:$P,MATCH(M$2,[1]Burgiss_Return!$B$5:$P$5,0),0)</f>
        <v>9.2399999999999996E-2</v>
      </c>
      <c r="N91" s="2">
        <v>6.7935999999999996E-2</v>
      </c>
      <c r="O91" s="2">
        <v>2.8E-3</v>
      </c>
      <c r="P91" s="2">
        <v>1.89059E-2</v>
      </c>
      <c r="Q91" s="2">
        <v>0.10368642879756917</v>
      </c>
      <c r="R91" s="2">
        <f>VLOOKUP($A91,[1]Burgiss_Return!$B:$P,MATCH(R$2,[1]Burgiss_Return!$B$5:$P$5,0),0)</f>
        <v>2.58E-2</v>
      </c>
      <c r="S91" s="2">
        <f>VLOOKUP($A91,[1]Burgiss_Return!$B:$P,MATCH(S$2,[1]Burgiss_Return!$B$5:$P$5,0),0)</f>
        <v>2.58E-2</v>
      </c>
      <c r="T91" s="2">
        <f>VLOOKUP($A91,[1]Burgiss_Return!$B:$P,MATCH(T$2,[1]Burgiss_Return!$B$5:$P$5,0),0)</f>
        <v>2.58E-2</v>
      </c>
      <c r="U91" s="2">
        <f>VLOOKUP($A91,[1]Burgiss_Return!$B:$P,MATCH(U$2,[1]Burgiss_Return!$B$5:$P$5,0),0)</f>
        <v>2.58E-2</v>
      </c>
      <c r="V91" s="2">
        <v>8.5099810493716177E-4</v>
      </c>
    </row>
    <row r="92" spans="1:22" x14ac:dyDescent="0.2">
      <c r="A92" s="3">
        <v>44651</v>
      </c>
      <c r="B92" s="2">
        <f>VLOOKUP($A92,[1]Burgiss_Return!$B:$P,MATCH(B$2,[1]Burgiss_Return!$B$5:$P$5,0),0)</f>
        <v>4.8999999999999998E-3</v>
      </c>
      <c r="C92" s="2">
        <f>VLOOKUP($A92,[1]Burgiss_Return!$B:$P,MATCH(C$2,[1]Burgiss_Return!$B$5:$P$5,0),0)</f>
        <v>-5.5800000000000002E-2</v>
      </c>
      <c r="D92" s="2">
        <f>VLOOKUP($A92,[1]Burgiss_Return!$B:$P,MATCH(D$2,[1]Burgiss_Return!$B$5:$P$5,0),0)</f>
        <v>-5.5800000000000002E-2</v>
      </c>
      <c r="E92" s="2">
        <f>VLOOKUP($A92,[1]Burgiss_Return!$B:$P,MATCH(E$2,[1]Burgiss_Return!$B$5:$P$5,0),0)</f>
        <v>4.0000000000000001E-3</v>
      </c>
      <c r="F92" s="2">
        <f>VLOOKUP($A92,[1]Burgiss_Return!$B:$P,MATCH(F$2,[1]Burgiss_Return!$B$5:$P$5,0),0)</f>
        <v>-2.4400000000000002E-2</v>
      </c>
      <c r="G92" s="2">
        <f>VLOOKUP($A92,[1]Burgiss_Return!$B:$P,MATCH(G$2,[1]Burgiss_Return!$B$5:$P$5,0),0)</f>
        <v>4.0000000000000001E-3</v>
      </c>
      <c r="H92" s="2">
        <f>VLOOKUP($A92,[1]Burgiss_Return!$B:$P,MATCH(H$2,[1]Burgiss_Return!$B$5:$P$5,0),0)</f>
        <v>2.6599999999999999E-2</v>
      </c>
      <c r="I92" s="2">
        <f>VLOOKUP($A92,[1]Burgiss_Return!$B:$P,MATCH(I$2,[1]Burgiss_Return!$B$5:$P$5,0),0)</f>
        <v>2.3699999999999999E-2</v>
      </c>
      <c r="J92" s="2">
        <f>VLOOKUP($A92,[1]Burgiss_Return!$B:$P,MATCH(J$2,[1]Burgiss_Return!$B$5:$P$5,0),0)</f>
        <v>-3.8699999999999998E-2</v>
      </c>
      <c r="K92" s="2">
        <v>1.5789997167574565E-3</v>
      </c>
      <c r="L92" s="2">
        <v>5.8585999999999999E-2</v>
      </c>
      <c r="M92" s="2">
        <f>VLOOKUP($A92,[1]Burgiss_Return!$B:$P,MATCH(M$2,[1]Burgiss_Return!$B$5:$P$5,0),0)</f>
        <v>5.79E-2</v>
      </c>
      <c r="N92" s="2">
        <v>5.8585999999999999E-2</v>
      </c>
      <c r="O92" s="2">
        <v>-4.41E-2</v>
      </c>
      <c r="P92" s="2">
        <v>1.6552299999999999E-2</v>
      </c>
      <c r="Q92" s="2">
        <v>-3.7685695085377224E-2</v>
      </c>
      <c r="R92" s="2">
        <f>VLOOKUP($A92,[1]Burgiss_Return!$B:$P,MATCH(R$2,[1]Burgiss_Return!$B$5:$P$5,0),0)</f>
        <v>-1.9E-3</v>
      </c>
      <c r="S92" s="2">
        <f>VLOOKUP($A92,[1]Burgiss_Return!$B:$P,MATCH(S$2,[1]Burgiss_Return!$B$5:$P$5,0),0)</f>
        <v>-1.9E-3</v>
      </c>
      <c r="T92" s="2">
        <f>VLOOKUP($A92,[1]Burgiss_Return!$B:$P,MATCH(T$2,[1]Burgiss_Return!$B$5:$P$5,0),0)</f>
        <v>-1.9E-3</v>
      </c>
      <c r="U92" s="2">
        <f>VLOOKUP($A92,[1]Burgiss_Return!$B:$P,MATCH(U$2,[1]Burgiss_Return!$B$5:$P$5,0),0)</f>
        <v>-1.9E-3</v>
      </c>
      <c r="V92" s="2">
        <v>-7.9543507299734584E-2</v>
      </c>
    </row>
    <row r="93" spans="1:22" x14ac:dyDescent="0.2">
      <c r="A93" s="3">
        <v>44742</v>
      </c>
      <c r="B93" s="2">
        <f>VLOOKUP($A93,[1]Burgiss_Return!$B:$P,MATCH(B$2,[1]Burgiss_Return!$B$5:$P$5,0),0)</f>
        <v>-3.56E-2</v>
      </c>
      <c r="C93" s="2">
        <f>VLOOKUP($A93,[1]Burgiss_Return!$B:$P,MATCH(C$2,[1]Burgiss_Return!$B$5:$P$5,0),0)</f>
        <v>-0.13300000000000001</v>
      </c>
      <c r="D93" s="2">
        <f>VLOOKUP($A93,[1]Burgiss_Return!$B:$P,MATCH(D$2,[1]Burgiss_Return!$B$5:$P$5,0),0)</f>
        <v>-0.13300000000000001</v>
      </c>
      <c r="E93" s="2">
        <f>VLOOKUP($A93,[1]Burgiss_Return!$B:$P,MATCH(E$2,[1]Burgiss_Return!$B$5:$P$5,0),0)</f>
        <v>-3.3300000000000003E-2</v>
      </c>
      <c r="F93" s="2">
        <f>VLOOKUP($A93,[1]Burgiss_Return!$B:$P,MATCH(F$2,[1]Burgiss_Return!$B$5:$P$5,0),0)</f>
        <v>-4.5499999999999999E-2</v>
      </c>
      <c r="G93" s="2">
        <f>VLOOKUP($A93,[1]Burgiss_Return!$B:$P,MATCH(G$2,[1]Burgiss_Return!$B$5:$P$5,0),0)</f>
        <v>-3.3300000000000003E-2</v>
      </c>
      <c r="H93" s="2">
        <f>VLOOKUP($A93,[1]Burgiss_Return!$B:$P,MATCH(H$2,[1]Burgiss_Return!$B$5:$P$5,0),0)</f>
        <v>-1.29E-2</v>
      </c>
      <c r="I93" s="2">
        <f>VLOOKUP($A93,[1]Burgiss_Return!$B:$P,MATCH(I$2,[1]Burgiss_Return!$B$5:$P$5,0),0)</f>
        <v>-1.7100000000000001E-2</v>
      </c>
      <c r="J93" s="2">
        <f>VLOOKUP($A93,[1]Burgiss_Return!$B:$P,MATCH(J$2,[1]Burgiss_Return!$B$5:$P$5,0),0)</f>
        <v>-1.12E-2</v>
      </c>
      <c r="K93" s="2">
        <v>-1.710245771375063E-2</v>
      </c>
      <c r="L93" s="2">
        <v>3.9725999999999997E-2</v>
      </c>
      <c r="M93" s="2">
        <f>VLOOKUP($A93,[1]Burgiss_Return!$B:$P,MATCH(M$2,[1]Burgiss_Return!$B$5:$P$5,0),0)</f>
        <v>-2.7000000000000001E-3</v>
      </c>
      <c r="N93" s="2">
        <v>3.9725999999999997E-2</v>
      </c>
      <c r="O93" s="2">
        <v>-1.9400000000000001E-2</v>
      </c>
      <c r="P93" s="2">
        <v>1.88603E-2</v>
      </c>
      <c r="Q93" s="2">
        <v>-0.17233208176125614</v>
      </c>
      <c r="R93" s="2">
        <f>VLOOKUP($A93,[1]Burgiss_Return!$B:$P,MATCH(R$2,[1]Burgiss_Return!$B$5:$P$5,0),0)</f>
        <v>-1.21E-2</v>
      </c>
      <c r="S93" s="2">
        <f>VLOOKUP($A93,[1]Burgiss_Return!$B:$P,MATCH(S$2,[1]Burgiss_Return!$B$5:$P$5,0),0)</f>
        <v>-1.21E-2</v>
      </c>
      <c r="T93" s="2">
        <f>VLOOKUP($A93,[1]Burgiss_Return!$B:$P,MATCH(T$2,[1]Burgiss_Return!$B$5:$P$5,0),0)</f>
        <v>-1.21E-2</v>
      </c>
      <c r="U93" s="2">
        <f>VLOOKUP($A93,[1]Burgiss_Return!$B:$P,MATCH(U$2,[1]Burgiss_Return!$B$5:$P$5,0),0)</f>
        <v>-1.21E-2</v>
      </c>
      <c r="V93" s="2">
        <v>-8.5991777127830127E-2</v>
      </c>
    </row>
    <row r="94" spans="1:22" x14ac:dyDescent="0.2">
      <c r="A94" s="3">
        <v>44834</v>
      </c>
      <c r="B94" s="2">
        <f>VLOOKUP($A94,[1]Burgiss_Return!$B:$P,MATCH(B$2,[1]Burgiss_Return!$B$5:$P$5,0),0)</f>
        <v>-1.5299999999999999E-2</v>
      </c>
      <c r="C94" s="2">
        <f>VLOOKUP($A94,[1]Burgiss_Return!$B:$P,MATCH(C$2,[1]Burgiss_Return!$B$5:$P$5,0),0)</f>
        <v>-2.46E-2</v>
      </c>
      <c r="D94" s="2">
        <f>VLOOKUP($A94,[1]Burgiss_Return!$B:$P,MATCH(D$2,[1]Burgiss_Return!$B$5:$P$5,0),0)</f>
        <v>-2.46E-2</v>
      </c>
      <c r="E94" s="2">
        <f>VLOOKUP($A94,[1]Burgiss_Return!$B:$P,MATCH(E$2,[1]Burgiss_Return!$B$5:$P$5,0),0)</f>
        <v>-1.9400000000000001E-2</v>
      </c>
      <c r="F94" s="2">
        <f>VLOOKUP($A94,[1]Burgiss_Return!$B:$P,MATCH(F$2,[1]Burgiss_Return!$B$5:$P$5,0),0)</f>
        <v>-3.7499999999999999E-2</v>
      </c>
      <c r="G94" s="2">
        <f>VLOOKUP($A94,[1]Burgiss_Return!$B:$P,MATCH(G$2,[1]Burgiss_Return!$B$5:$P$5,0),0)</f>
        <v>-1.9400000000000001E-2</v>
      </c>
      <c r="H94" s="2">
        <f>VLOOKUP($A94,[1]Burgiss_Return!$B:$P,MATCH(H$2,[1]Burgiss_Return!$B$5:$P$5,0),0)</f>
        <v>-0.01</v>
      </c>
      <c r="I94" s="2">
        <f>VLOOKUP($A94,[1]Burgiss_Return!$B:$P,MATCH(I$2,[1]Burgiss_Return!$B$5:$P$5,0),0)</f>
        <v>1.03E-2</v>
      </c>
      <c r="J94" s="2">
        <f>VLOOKUP($A94,[1]Burgiss_Return!$B:$P,MATCH(J$2,[1]Burgiss_Return!$B$5:$P$5,0),0)</f>
        <v>-0.04</v>
      </c>
      <c r="K94" s="2">
        <v>2.0774681492756741E-3</v>
      </c>
      <c r="L94" s="2">
        <v>-7.1000000000000005E-5</v>
      </c>
      <c r="M94" s="2">
        <f>VLOOKUP($A94,[1]Burgiss_Return!$B:$P,MATCH(M$2,[1]Burgiss_Return!$B$5:$P$5,0),0)</f>
        <v>-1.52E-2</v>
      </c>
      <c r="N94" s="2">
        <v>-7.1000000000000005E-5</v>
      </c>
      <c r="O94" s="2">
        <v>-4.07E-2</v>
      </c>
      <c r="P94" s="2">
        <v>2.70356E-2</v>
      </c>
      <c r="Q94" s="2">
        <v>-0.11386758817923581</v>
      </c>
      <c r="R94" s="2">
        <f>VLOOKUP($A94,[1]Burgiss_Return!$B:$P,MATCH(R$2,[1]Burgiss_Return!$B$5:$P$5,0),0)</f>
        <v>-2.7400000000000001E-2</v>
      </c>
      <c r="S94" s="2">
        <f>VLOOKUP($A94,[1]Burgiss_Return!$B:$P,MATCH(S$2,[1]Burgiss_Return!$B$5:$P$5,0),0)</f>
        <v>-2.7400000000000001E-2</v>
      </c>
      <c r="T94" s="2">
        <f>VLOOKUP($A94,[1]Burgiss_Return!$B:$P,MATCH(T$2,[1]Burgiss_Return!$B$5:$P$5,0),0)</f>
        <v>-2.7400000000000001E-2</v>
      </c>
      <c r="U94" s="2">
        <f>VLOOKUP($A94,[1]Burgiss_Return!$B:$P,MATCH(U$2,[1]Burgiss_Return!$B$5:$P$5,0),0)</f>
        <v>-2.7400000000000001E-2</v>
      </c>
      <c r="V94" s="2">
        <v>-4.8819663890969922E-2</v>
      </c>
    </row>
    <row r="95" spans="1:22" x14ac:dyDescent="0.2">
      <c r="A95" s="3">
        <v>44926</v>
      </c>
      <c r="B95" s="2">
        <f>VLOOKUP($A95,[1]Burgiss_Return!$B:$P,MATCH(B$2,[1]Burgiss_Return!$B$5:$P$5,0),0)</f>
        <v>3.6999999999999998E-2</v>
      </c>
      <c r="C95" s="2">
        <f>VLOOKUP($A95,[1]Burgiss_Return!$B:$P,MATCH(C$2,[1]Burgiss_Return!$B$5:$P$5,0),0)</f>
        <v>-7.7799999999999994E-2</v>
      </c>
      <c r="D95" s="2">
        <f>VLOOKUP($A95,[1]Burgiss_Return!$B:$P,MATCH(D$2,[1]Burgiss_Return!$B$5:$P$5,0),0)</f>
        <v>-7.7799999999999994E-2</v>
      </c>
      <c r="E95" s="2">
        <f>VLOOKUP($A95,[1]Burgiss_Return!$B:$P,MATCH(E$2,[1]Burgiss_Return!$B$5:$P$5,0),0)</f>
        <v>1.3899999999999999E-2</v>
      </c>
      <c r="F95" s="2">
        <f>VLOOKUP($A95,[1]Burgiss_Return!$B:$P,MATCH(F$2,[1]Burgiss_Return!$B$5:$P$5,0),0)</f>
        <v>-1.0699999999999999E-2</v>
      </c>
      <c r="G95" s="2">
        <f>VLOOKUP($A95,[1]Burgiss_Return!$B:$P,MATCH(G$2,[1]Burgiss_Return!$B$5:$P$5,0),0)</f>
        <v>1.3899999999999999E-2</v>
      </c>
      <c r="H95" s="2">
        <f>VLOOKUP($A95,[1]Burgiss_Return!$B:$P,MATCH(H$2,[1]Burgiss_Return!$B$5:$P$5,0),0)</f>
        <v>4.1000000000000002E-2</v>
      </c>
      <c r="I95" s="2">
        <f>VLOOKUP($A95,[1]Burgiss_Return!$B:$P,MATCH(I$2,[1]Burgiss_Return!$B$5:$P$5,0),0)</f>
        <v>3.15E-2</v>
      </c>
      <c r="J95" s="2">
        <f>VLOOKUP($A95,[1]Burgiss_Return!$B:$P,MATCH(J$2,[1]Burgiss_Return!$B$5:$P$5,0),0)</f>
        <v>1.47E-2</v>
      </c>
      <c r="K95" s="2">
        <v>1.4497824881458232E-2</v>
      </c>
      <c r="L95" s="2">
        <v>-4.9176999999999998E-2</v>
      </c>
      <c r="M95" s="2">
        <f>VLOOKUP($A95,[1]Burgiss_Return!$B:$P,MATCH(M$2,[1]Burgiss_Return!$B$5:$P$5,0),0)</f>
        <v>-1.9E-2</v>
      </c>
      <c r="N95" s="2">
        <v>-4.9176999999999998E-2</v>
      </c>
      <c r="O95" s="2">
        <v>1.2200000000000001E-2</v>
      </c>
      <c r="P95" s="2">
        <v>1.44203E-2</v>
      </c>
      <c r="Q95" s="2">
        <v>7.1069139308191698E-2</v>
      </c>
      <c r="R95" s="2">
        <f>VLOOKUP($A95,[1]Burgiss_Return!$B:$P,MATCH(R$2,[1]Burgiss_Return!$B$5:$P$5,0),0)</f>
        <v>8.5199999999999998E-2</v>
      </c>
      <c r="S95" s="2">
        <f>VLOOKUP($A95,[1]Burgiss_Return!$B:$P,MATCH(S$2,[1]Burgiss_Return!$B$5:$P$5,0),0)</f>
        <v>8.5199999999999998E-2</v>
      </c>
      <c r="T95" s="2">
        <f>VLOOKUP($A95,[1]Burgiss_Return!$B:$P,MATCH(T$2,[1]Burgiss_Return!$B$5:$P$5,0),0)</f>
        <v>8.5199999999999998E-2</v>
      </c>
      <c r="U95" s="2">
        <f>VLOOKUP($A95,[1]Burgiss_Return!$B:$P,MATCH(U$2,[1]Burgiss_Return!$B$5:$P$5,0),0)</f>
        <v>8.5199999999999998E-2</v>
      </c>
      <c r="V95" s="2">
        <v>3.5696016279251674E-2</v>
      </c>
    </row>
    <row r="96" spans="1:22" x14ac:dyDescent="0.2">
      <c r="A96" s="3">
        <v>45016</v>
      </c>
      <c r="B96" s="2">
        <f>VLOOKUP($A96,[1]Burgiss_Return!$B:$P,MATCH(B$2,[1]Burgiss_Return!$B$5:$P$5,0),0)</f>
        <v>3.09E-2</v>
      </c>
      <c r="C96" s="2">
        <f>VLOOKUP($A96,[1]Burgiss_Return!$B:$P,MATCH(C$2,[1]Burgiss_Return!$B$5:$P$5,0),0)</f>
        <v>2.0000000000000001E-4</v>
      </c>
      <c r="D96" s="2">
        <f>VLOOKUP($A96,[1]Burgiss_Return!$B:$P,MATCH(D$2,[1]Burgiss_Return!$B$5:$P$5,0),0)</f>
        <v>2.0000000000000001E-4</v>
      </c>
      <c r="E96" s="2">
        <f>VLOOKUP($A96,[1]Burgiss_Return!$B:$P,MATCH(E$2,[1]Burgiss_Return!$B$5:$P$5,0),0)</f>
        <v>1.5299999999999999E-2</v>
      </c>
      <c r="F96" s="2">
        <f>VLOOKUP($A96,[1]Burgiss_Return!$B:$P,MATCH(F$2,[1]Burgiss_Return!$B$5:$P$5,0),0)</f>
        <v>1.0999999999999999E-2</v>
      </c>
      <c r="G96" s="2">
        <f>VLOOKUP($A96,[1]Burgiss_Return!$B:$P,MATCH(G$2,[1]Burgiss_Return!$B$5:$P$5,0),0)</f>
        <v>1.5299999999999999E-2</v>
      </c>
      <c r="H96" s="2">
        <f>VLOOKUP($A96,[1]Burgiss_Return!$B:$P,MATCH(H$2,[1]Burgiss_Return!$B$5:$P$5,0),0)</f>
        <v>3.3399999999999999E-2</v>
      </c>
      <c r="I96" s="2">
        <f>VLOOKUP($A96,[1]Burgiss_Return!$B:$P,MATCH(I$2,[1]Burgiss_Return!$B$5:$P$5,0),0)</f>
        <v>2.53E-2</v>
      </c>
      <c r="J96" s="2">
        <f>VLOOKUP($A96,[1]Burgiss_Return!$B:$P,MATCH(J$2,[1]Burgiss_Return!$B$5:$P$5,0),0)</f>
        <v>1.43E-2</v>
      </c>
      <c r="K96" s="2">
        <v>9.2011491248824573E-3</v>
      </c>
      <c r="L96" s="2">
        <v>-2.2526999999999998E-2</v>
      </c>
      <c r="M96" s="2">
        <f>VLOOKUP($A96,[1]Burgiss_Return!$B:$P,MATCH(M$2,[1]Burgiss_Return!$B$5:$P$5,0),0)</f>
        <v>-6.7000000000000002E-3</v>
      </c>
      <c r="N96" s="2">
        <v>-2.2526999999999998E-2</v>
      </c>
      <c r="O96" s="2">
        <v>3.1300000000000001E-2</v>
      </c>
      <c r="P96" s="2">
        <v>9.9682999999999994E-3</v>
      </c>
      <c r="Q96" s="2">
        <v>1.0358733904959783E-2</v>
      </c>
      <c r="R96" s="2">
        <f>VLOOKUP($A96,[1]Burgiss_Return!$B:$P,MATCH(R$2,[1]Burgiss_Return!$B$5:$P$5,0),0)</f>
        <v>3.0800000000000001E-2</v>
      </c>
      <c r="S96" s="2">
        <f>VLOOKUP($A96,[1]Burgiss_Return!$B:$P,MATCH(S$2,[1]Burgiss_Return!$B$5:$P$5,0),0)</f>
        <v>3.0800000000000001E-2</v>
      </c>
      <c r="T96" s="2">
        <f>VLOOKUP($A96,[1]Burgiss_Return!$B:$P,MATCH(T$2,[1]Burgiss_Return!$B$5:$P$5,0),0)</f>
        <v>3.0800000000000001E-2</v>
      </c>
      <c r="U96" s="2">
        <f>VLOOKUP($A96,[1]Burgiss_Return!$B:$P,MATCH(U$2,[1]Burgiss_Return!$B$5:$P$5,0),0)</f>
        <v>3.0800000000000001E-2</v>
      </c>
      <c r="V96" s="2">
        <v>3.8514366412435219E-2</v>
      </c>
    </row>
    <row r="97" spans="1:22" x14ac:dyDescent="0.2">
      <c r="A97" s="3">
        <v>45107</v>
      </c>
      <c r="B97" s="2">
        <f>VLOOKUP($A97,[1]Burgiss_Return!$B:$P,MATCH(B$2,[1]Burgiss_Return!$B$5:$P$5,0),0)</f>
        <v>2.52E-2</v>
      </c>
      <c r="C97" s="2">
        <f>VLOOKUP($A97,[1]Burgiss_Return!$B:$P,MATCH(C$2,[1]Burgiss_Return!$B$5:$P$5,0),0)</f>
        <v>4.3E-3</v>
      </c>
      <c r="D97" s="2">
        <f>VLOOKUP($A97,[1]Burgiss_Return!$B:$P,MATCH(D$2,[1]Burgiss_Return!$B$5:$P$5,0),0)</f>
        <v>4.3E-3</v>
      </c>
      <c r="E97" s="2">
        <f>VLOOKUP($A97,[1]Burgiss_Return!$B:$P,MATCH(E$2,[1]Burgiss_Return!$B$5:$P$5,0),0)</f>
        <v>1.3299999999999999E-2</v>
      </c>
      <c r="F97" s="2">
        <f>VLOOKUP($A97,[1]Burgiss_Return!$B:$P,MATCH(F$2,[1]Burgiss_Return!$B$5:$P$5,0),0)</f>
        <v>-5.7000000000000002E-3</v>
      </c>
      <c r="G97" s="2">
        <f>VLOOKUP($A97,[1]Burgiss_Return!$B:$P,MATCH(G$2,[1]Burgiss_Return!$B$5:$P$5,0),0)</f>
        <v>1.3299999999999999E-2</v>
      </c>
      <c r="H97" s="2">
        <f>VLOOKUP($A97,[1]Burgiss_Return!$B:$P,MATCH(H$2,[1]Burgiss_Return!$B$5:$P$5,0),0)</f>
        <v>3.2199999999999999E-2</v>
      </c>
      <c r="I97" s="2">
        <f>VLOOKUP($A97,[1]Burgiss_Return!$B:$P,MATCH(I$2,[1]Burgiss_Return!$B$5:$P$5,0),0)</f>
        <v>2.41E-2</v>
      </c>
      <c r="J97" s="2">
        <f>VLOOKUP($A97,[1]Burgiss_Return!$B:$P,MATCH(J$2,[1]Burgiss_Return!$B$5:$P$5,0),0)</f>
        <v>-8.0000000000000002E-3</v>
      </c>
      <c r="K97" s="2">
        <v>1.0502065196594357E-2</v>
      </c>
      <c r="L97" s="2">
        <v>-2.0174000000000001E-2</v>
      </c>
      <c r="M97" s="2">
        <f>VLOOKUP($A97,[1]Burgiss_Return!$B:$P,MATCH(M$2,[1]Burgiss_Return!$B$5:$P$5,0),0)</f>
        <v>-1.1900000000000001E-2</v>
      </c>
      <c r="N97" s="2">
        <v>-2.0174000000000001E-2</v>
      </c>
      <c r="O97" s="2">
        <v>-7.4000000000000003E-3</v>
      </c>
      <c r="P97" s="2">
        <v>1.9048200000000001E-2</v>
      </c>
      <c r="Q97" s="2">
        <v>5.4285663317634736E-3</v>
      </c>
      <c r="R97" s="2">
        <f>VLOOKUP($A97,[1]Burgiss_Return!$B:$P,MATCH(R$2,[1]Burgiss_Return!$B$5:$P$5,0),0)</f>
        <v>1.9300000000000001E-2</v>
      </c>
      <c r="S97" s="2">
        <f>VLOOKUP($A97,[1]Burgiss_Return!$B:$P,MATCH(S$2,[1]Burgiss_Return!$B$5:$P$5,0),0)</f>
        <v>1.9300000000000001E-2</v>
      </c>
      <c r="T97" s="2">
        <f>VLOOKUP($A97,[1]Burgiss_Return!$B:$P,MATCH(T$2,[1]Burgiss_Return!$B$5:$P$5,0),0)</f>
        <v>1.9300000000000001E-2</v>
      </c>
      <c r="U97" s="2">
        <f>VLOOKUP($A97,[1]Burgiss_Return!$B:$P,MATCH(U$2,[1]Burgiss_Return!$B$5:$P$5,0),0)</f>
        <v>1.9300000000000001E-2</v>
      </c>
      <c r="V97" s="2">
        <v>-4.1674331312971935E-3</v>
      </c>
    </row>
    <row r="98" spans="1:22" x14ac:dyDescent="0.2">
      <c r="A98" s="3">
        <v>45199</v>
      </c>
      <c r="B98" s="2">
        <f>VLOOKUP($A98,[1]Burgiss_Return!$B:$P,MATCH(B$2,[1]Burgiss_Return!$B$5:$P$5,0),0)</f>
        <v>2.0000000000000001E-4</v>
      </c>
      <c r="C98" s="2">
        <f>VLOOKUP($A98,[1]Burgiss_Return!$B:$P,MATCH(C$2,[1]Burgiss_Return!$B$5:$P$5,0),0)</f>
        <v>-2.5100000000000001E-2</v>
      </c>
      <c r="D98" s="2">
        <f>VLOOKUP($A98,[1]Burgiss_Return!$B:$P,MATCH(D$2,[1]Burgiss_Return!$B$5:$P$5,0),0)</f>
        <v>-2.5100000000000001E-2</v>
      </c>
      <c r="E98" s="2">
        <f>VLOOKUP($A98,[1]Burgiss_Return!$B:$P,MATCH(E$2,[1]Burgiss_Return!$B$5:$P$5,0),0)</f>
        <v>2.8999999999999998E-3</v>
      </c>
      <c r="F98" s="2">
        <f>VLOOKUP($A98,[1]Burgiss_Return!$B:$P,MATCH(F$2,[1]Burgiss_Return!$B$5:$P$5,0),0)</f>
        <v>-1.5800000000000002E-2</v>
      </c>
      <c r="G98" s="2">
        <f>VLOOKUP($A98,[1]Burgiss_Return!$B:$P,MATCH(G$2,[1]Burgiss_Return!$B$5:$P$5,0),0)</f>
        <v>2.8999999999999998E-3</v>
      </c>
      <c r="H98" s="2">
        <f>VLOOKUP($A98,[1]Burgiss_Return!$B:$P,MATCH(H$2,[1]Burgiss_Return!$B$5:$P$5,0),0)</f>
        <v>2.3E-2</v>
      </c>
      <c r="I98" s="2">
        <f>VLOOKUP($A98,[1]Burgiss_Return!$B:$P,MATCH(I$2,[1]Burgiss_Return!$B$5:$P$5,0),0)</f>
        <v>2.3599999999999999E-2</v>
      </c>
      <c r="J98" s="2">
        <f>VLOOKUP($A98,[1]Burgiss_Return!$B:$P,MATCH(J$2,[1]Burgiss_Return!$B$5:$P$5,0),0)</f>
        <v>1.4E-3</v>
      </c>
      <c r="K98" s="2">
        <v>1.4753185687949921E-2</v>
      </c>
      <c r="L98" s="2">
        <v>-1.6140999999999999E-2</v>
      </c>
      <c r="M98" s="2">
        <f>VLOOKUP($A98,[1]Burgiss_Return!$B:$P,MATCH(M$2,[1]Burgiss_Return!$B$5:$P$5,0),0)</f>
        <v>-3.04E-2</v>
      </c>
      <c r="N98" s="2">
        <v>-1.6140999999999999E-2</v>
      </c>
      <c r="O98" s="2">
        <v>-1.3599999999999999E-2</v>
      </c>
      <c r="P98" s="2">
        <v>1.1574600000000001E-2</v>
      </c>
      <c r="Q98" s="2">
        <v>-5.5936033858053791E-2</v>
      </c>
      <c r="R98" s="2">
        <f>VLOOKUP($A98,[1]Burgiss_Return!$B:$P,MATCH(R$2,[1]Burgiss_Return!$B$5:$P$5,0),0)</f>
        <v>-7.6E-3</v>
      </c>
      <c r="S98" s="2">
        <f>VLOOKUP($A98,[1]Burgiss_Return!$B:$P,MATCH(S$2,[1]Burgiss_Return!$B$5:$P$5,0),0)</f>
        <v>-7.6E-3</v>
      </c>
      <c r="T98" s="2">
        <f>VLOOKUP($A98,[1]Burgiss_Return!$B:$P,MATCH(T$2,[1]Burgiss_Return!$B$5:$P$5,0),0)</f>
        <v>-7.6E-3</v>
      </c>
      <c r="U98" s="2">
        <f>VLOOKUP($A98,[1]Burgiss_Return!$B:$P,MATCH(U$2,[1]Burgiss_Return!$B$5:$P$5,0),0)</f>
        <v>-7.6E-3</v>
      </c>
      <c r="V98" s="2">
        <v>-2.9935376764278709E-2</v>
      </c>
    </row>
    <row r="99" spans="1:22" x14ac:dyDescent="0.2">
      <c r="A99" s="3">
        <v>45291</v>
      </c>
      <c r="B99" s="2">
        <f>VLOOKUP($A99,[1]Burgiss_Return!$B:$P,MATCH(B$2,[1]Burgiss_Return!$B$5:$P$5,0),0)</f>
        <v>3.6799999999999999E-2</v>
      </c>
      <c r="C99" s="2">
        <f>VLOOKUP($A99,[1]Burgiss_Return!$B:$P,MATCH(C$2,[1]Burgiss_Return!$B$5:$P$5,0),0)</f>
        <v>1.3599999999999999E-2</v>
      </c>
      <c r="D99" s="2">
        <f>VLOOKUP($A99,[1]Burgiss_Return!$B:$P,MATCH(D$2,[1]Burgiss_Return!$B$5:$P$5,0),0)</f>
        <v>1.3599999999999999E-2</v>
      </c>
      <c r="E99" s="2">
        <f>VLOOKUP($A99,[1]Burgiss_Return!$B:$P,MATCH(E$2,[1]Burgiss_Return!$B$5:$P$5,0),0)</f>
        <v>3.3399999999999999E-2</v>
      </c>
      <c r="F99" s="2">
        <f>VLOOKUP($A99,[1]Burgiss_Return!$B:$P,MATCH(F$2,[1]Burgiss_Return!$B$5:$P$5,0),0)</f>
        <v>1.5299999999999999E-2</v>
      </c>
      <c r="G99" s="2">
        <f>VLOOKUP($A99,[1]Burgiss_Return!$B:$P,MATCH(G$2,[1]Burgiss_Return!$B$5:$P$5,0),0)</f>
        <v>3.3399999999999999E-2</v>
      </c>
      <c r="H99" s="2">
        <f>VLOOKUP($A99,[1]Burgiss_Return!$B:$P,MATCH(H$2,[1]Burgiss_Return!$B$5:$P$5,0),0)</f>
        <v>3.9699999999999999E-2</v>
      </c>
      <c r="I99" s="2">
        <f>VLOOKUP($A99,[1]Burgiss_Return!$B:$P,MATCH(I$2,[1]Burgiss_Return!$B$5:$P$5,0),0)</f>
        <v>3.5700000000000003E-2</v>
      </c>
      <c r="J99" s="2">
        <f>VLOOKUP($A99,[1]Burgiss_Return!$B:$P,MATCH(J$2,[1]Burgiss_Return!$B$5:$P$5,0),0)</f>
        <v>2.3E-2</v>
      </c>
      <c r="K99" s="2">
        <v>1.9271719481071869E-2</v>
      </c>
      <c r="L99" s="2">
        <v>-3.8129999999999997E-2</v>
      </c>
      <c r="M99" s="2">
        <f>VLOOKUP($A99,[1]Burgiss_Return!$B:$P,MATCH(M$2,[1]Burgiss_Return!$B$5:$P$5,0),0)</f>
        <v>-3.4500000000000003E-2</v>
      </c>
      <c r="N99" s="2">
        <v>-3.8129999999999997E-2</v>
      </c>
      <c r="O99" s="2">
        <v>4.5900000000000003E-2</v>
      </c>
      <c r="P99" s="2">
        <v>1.8045100000000001E-2</v>
      </c>
      <c r="Q99" s="2">
        <v>0.15587079674023263</v>
      </c>
      <c r="R99" s="2">
        <f>VLOOKUP($A99,[1]Burgiss_Return!$B:$P,MATCH(R$2,[1]Burgiss_Return!$B$5:$P$5,0),0)</f>
        <v>4.4299999999999999E-2</v>
      </c>
      <c r="S99" s="2">
        <f>VLOOKUP($A99,[1]Burgiss_Return!$B:$P,MATCH(S$2,[1]Burgiss_Return!$B$5:$P$5,0),0)</f>
        <v>4.4299999999999999E-2</v>
      </c>
      <c r="T99" s="2">
        <f>VLOOKUP($A99,[1]Burgiss_Return!$B:$P,MATCH(T$2,[1]Burgiss_Return!$B$5:$P$5,0),0)</f>
        <v>4.4299999999999999E-2</v>
      </c>
      <c r="U99" s="2">
        <f>VLOOKUP($A99,[1]Burgiss_Return!$B:$P,MATCH(U$2,[1]Burgiss_Return!$B$5:$P$5,0),0)</f>
        <v>4.4299999999999999E-2</v>
      </c>
      <c r="V99" s="2">
        <v>9.056117145482756E-2</v>
      </c>
    </row>
    <row r="100" spans="1:22" x14ac:dyDescent="0.2">
      <c r="A100" s="3">
        <v>45382</v>
      </c>
      <c r="B100" s="2">
        <f>VLOOKUP($A100,[1]Burgiss_Return!$B:$P,MATCH(B$2,[1]Burgiss_Return!$B$5:$P$5,0),0)</f>
        <v>1.1900000000000001E-2</v>
      </c>
      <c r="C100" s="2">
        <f>VLOOKUP($A100,[1]Burgiss_Return!$B:$P,MATCH(C$2,[1]Burgiss_Return!$B$5:$P$5,0),0)</f>
        <v>1.66E-2</v>
      </c>
      <c r="D100" s="2">
        <f>VLOOKUP($A100,[1]Burgiss_Return!$B:$P,MATCH(D$2,[1]Burgiss_Return!$B$5:$P$5,0),0)</f>
        <v>1.66E-2</v>
      </c>
      <c r="E100" s="2">
        <f>VLOOKUP($A100,[1]Burgiss_Return!$B:$P,MATCH(E$2,[1]Burgiss_Return!$B$5:$P$5,0),0)</f>
        <v>1.54E-2</v>
      </c>
      <c r="F100" s="2">
        <f>VLOOKUP($A100,[1]Burgiss_Return!$B:$P,MATCH(F$2,[1]Burgiss_Return!$B$5:$P$5,0),0)</f>
        <v>6.8999999999999999E-3</v>
      </c>
      <c r="G100" s="2">
        <f>VLOOKUP($A100,[1]Burgiss_Return!$B:$P,MATCH(G$2,[1]Burgiss_Return!$B$5:$P$5,0),0)</f>
        <v>1.54E-2</v>
      </c>
      <c r="H100" s="2">
        <f>VLOOKUP($A100,[1]Burgiss_Return!$B:$P,MATCH(H$2,[1]Burgiss_Return!$B$5:$P$5,0),0)</f>
        <v>1.3299999999999999E-2</v>
      </c>
      <c r="I100" s="2">
        <f>VLOOKUP($A100,[1]Burgiss_Return!$B:$P,MATCH(I$2,[1]Burgiss_Return!$B$5:$P$5,0),0)</f>
        <v>2.18E-2</v>
      </c>
      <c r="J100" s="2">
        <f>VLOOKUP($A100,[1]Burgiss_Return!$B:$P,MATCH(J$2,[1]Burgiss_Return!$B$5:$P$5,0),0)</f>
        <v>-1.38E-2</v>
      </c>
      <c r="K100" s="2">
        <v>2.6029790621900917E-2</v>
      </c>
      <c r="L100" s="2">
        <v>-1.5876000000000001E-2</v>
      </c>
      <c r="M100" s="2">
        <f>VLOOKUP($A100,[1]Burgiss_Return!$B:$P,MATCH(M$2,[1]Burgiss_Return!$B$5:$P$5,0),0)</f>
        <v>-1.2E-2</v>
      </c>
      <c r="N100" s="2">
        <v>-1.5876000000000001E-2</v>
      </c>
      <c r="O100" s="2">
        <v>2.8999999999999998E-3</v>
      </c>
      <c r="P100" s="2">
        <v>1.6846099999999999E-2</v>
      </c>
      <c r="Q100" s="2">
        <v>-1.04712252415744E-2</v>
      </c>
      <c r="R100" s="2">
        <f>VLOOKUP($A100,[1]Burgiss_Return!$B:$P,MATCH(R$2,[1]Burgiss_Return!$B$5:$P$5,0),0)</f>
        <v>-4.8999999999999998E-3</v>
      </c>
      <c r="S100" s="2">
        <f>VLOOKUP($A100,[1]Burgiss_Return!$B:$P,MATCH(S$2,[1]Burgiss_Return!$B$5:$P$5,0),0)</f>
        <v>-4.8999999999999998E-3</v>
      </c>
      <c r="T100" s="2">
        <f>VLOOKUP($A100,[1]Burgiss_Return!$B:$P,MATCH(T$2,[1]Burgiss_Return!$B$5:$P$5,0),0)</f>
        <v>-4.8999999999999998E-3</v>
      </c>
      <c r="U100" s="2">
        <f>VLOOKUP($A100,[1]Burgiss_Return!$B:$P,MATCH(U$2,[1]Burgiss_Return!$B$5:$P$5,0),0)</f>
        <v>-4.8999999999999998E-3</v>
      </c>
      <c r="V100" s="2">
        <v>-5.9079689616130526E-3</v>
      </c>
    </row>
    <row r="101" spans="1:22" x14ac:dyDescent="0.2">
      <c r="A101" s="3">
        <v>45473</v>
      </c>
      <c r="B101" s="2">
        <f>VLOOKUP($A101,[1]Burgiss_Return!$B:$P,MATCH(B$2,[1]Burgiss_Return!$B$5:$P$5,0),0)</f>
        <v>1.37E-2</v>
      </c>
      <c r="C101" s="2">
        <f>VLOOKUP($A101,[1]Burgiss_Return!$B:$P,MATCH(C$2,[1]Burgiss_Return!$B$5:$P$5,0),0)</f>
        <v>4.3E-3</v>
      </c>
      <c r="D101" s="2">
        <f>VLOOKUP($A101,[1]Burgiss_Return!$B:$P,MATCH(D$2,[1]Burgiss_Return!$B$5:$P$5,0),0)</f>
        <v>4.3E-3</v>
      </c>
      <c r="E101" s="2">
        <f>VLOOKUP($A101,[1]Burgiss_Return!$B:$P,MATCH(E$2,[1]Burgiss_Return!$B$5:$P$5,0),0)</f>
        <v>6.8999999999999999E-3</v>
      </c>
      <c r="F101" s="2">
        <f>VLOOKUP($A101,[1]Burgiss_Return!$B:$P,MATCH(F$2,[1]Burgiss_Return!$B$5:$P$5,0),0)</f>
        <v>-2.8999999999999998E-3</v>
      </c>
      <c r="G101" s="2">
        <f>VLOOKUP($A101,[1]Burgiss_Return!$B:$P,MATCH(G$2,[1]Burgiss_Return!$B$5:$P$5,0),0)</f>
        <v>6.8999999999999999E-3</v>
      </c>
      <c r="H101" s="2">
        <f>VLOOKUP($A101,[1]Burgiss_Return!$B:$P,MATCH(H$2,[1]Burgiss_Return!$B$5:$P$5,0),0)</f>
        <v>2.76E-2</v>
      </c>
      <c r="I101" s="2">
        <f>VLOOKUP($A101,[1]Burgiss_Return!$B:$P,MATCH(I$2,[1]Burgiss_Return!$B$5:$P$5,0),0)</f>
        <v>1.6500000000000001E-2</v>
      </c>
      <c r="J101" s="2">
        <f>VLOOKUP($A101,[1]Burgiss_Return!$B:$P,MATCH(J$2,[1]Burgiss_Return!$B$5:$P$5,0),0)</f>
        <v>3.0999999999999999E-3</v>
      </c>
      <c r="K101" s="2">
        <v>7.8681598651715312E-3</v>
      </c>
      <c r="L101" s="2">
        <v>-7.744E-3</v>
      </c>
      <c r="M101" s="2">
        <f>VLOOKUP($A101,[1]Burgiss_Return!$B:$P,MATCH(M$2,[1]Burgiss_Return!$B$5:$P$5,0),0)</f>
        <v>-7.1999999999999998E-3</v>
      </c>
      <c r="N101" s="2">
        <v>-7.744E-3</v>
      </c>
      <c r="O101" s="2">
        <v>1.0959E-2</v>
      </c>
      <c r="P101" s="2">
        <v>1.82224E-2</v>
      </c>
      <c r="Q101" s="2">
        <v>-2.1485802606664439E-2</v>
      </c>
      <c r="R101" s="2">
        <f>VLOOKUP($A101,[1]Burgiss_Return!$B:$P,MATCH(R$2,[1]Burgiss_Return!$B$5:$P$5,0),0)</f>
        <v>1.09E-2</v>
      </c>
      <c r="S101" s="2">
        <f>VLOOKUP($A101,[1]Burgiss_Return!$B:$P,MATCH(S$2,[1]Burgiss_Return!$B$5:$P$5,0),0)</f>
        <v>1.09E-2</v>
      </c>
      <c r="T101" s="2">
        <f>VLOOKUP($A101,[1]Burgiss_Return!$B:$P,MATCH(T$2,[1]Burgiss_Return!$B$5:$P$5,0),0)</f>
        <v>1.09E-2</v>
      </c>
      <c r="U101" s="2">
        <f>VLOOKUP($A101,[1]Burgiss_Return!$B:$P,MATCH(U$2,[1]Burgiss_Return!$B$5:$P$5,0),0)</f>
        <v>1.09E-2</v>
      </c>
      <c r="V101" s="2">
        <v>-1.2778845924027449E-3</v>
      </c>
    </row>
    <row r="102" spans="1:22" x14ac:dyDescent="0.2">
      <c r="A102" s="3">
        <v>45565</v>
      </c>
      <c r="B102" s="2">
        <f>VLOOKUP($A102,[1]Burgiss_Return!$B:$P,MATCH(B$2,[1]Burgiss_Return!$B$5:$P$5,0),0)</f>
        <v>3.0099999999999998E-2</v>
      </c>
      <c r="C102" s="2">
        <f>VLOOKUP($A102,[1]Burgiss_Return!$B:$P,MATCH(C$2,[1]Burgiss_Return!$B$5:$P$5,0),0)</f>
        <v>2.46E-2</v>
      </c>
      <c r="D102" s="2">
        <f>VLOOKUP($A102,[1]Burgiss_Return!$B:$P,MATCH(D$2,[1]Burgiss_Return!$B$5:$P$5,0),0)</f>
        <v>2.46E-2</v>
      </c>
      <c r="E102" s="2">
        <f>VLOOKUP($A102,[1]Burgiss_Return!$B:$P,MATCH(E$2,[1]Burgiss_Return!$B$5:$P$5,0),0)</f>
        <v>1.9099999999999999E-2</v>
      </c>
      <c r="F102" s="2">
        <f>VLOOKUP($A102,[1]Burgiss_Return!$B:$P,MATCH(F$2,[1]Burgiss_Return!$B$5:$P$5,0),0)</f>
        <v>1.8100000000000002E-2</v>
      </c>
      <c r="G102" s="2">
        <f>VLOOKUP($A102,[1]Burgiss_Return!$B:$P,MATCH(G$2,[1]Burgiss_Return!$B$5:$P$5,0),0)</f>
        <v>1.9099999999999999E-2</v>
      </c>
      <c r="H102" s="2">
        <f>VLOOKUP($A102,[1]Burgiss_Return!$B:$P,MATCH(H$2,[1]Burgiss_Return!$B$5:$P$5,0),0)</f>
        <v>3.3500000000000002E-2</v>
      </c>
      <c r="I102" s="2">
        <f>VLOOKUP($A102,[1]Burgiss_Return!$B:$P,MATCH(I$2,[1]Burgiss_Return!$B$5:$P$5,0),0)</f>
        <v>2.5600000000000001E-2</v>
      </c>
      <c r="J102" s="2">
        <f>VLOOKUP($A102,[1]Burgiss_Return!$B:$P,MATCH(J$2,[1]Burgiss_Return!$B$5:$P$5,0),0)</f>
        <v>3.3099999999999997E-2</v>
      </c>
      <c r="K102" s="2">
        <v>1.5707736414075413E-2</v>
      </c>
      <c r="L102" s="2">
        <v>2.6640000000000001E-3</v>
      </c>
      <c r="M102" s="2">
        <f>VLOOKUP($A102,[1]Burgiss_Return!$B:$P,MATCH(M$2,[1]Burgiss_Return!$B$5:$P$5,0),0)</f>
        <v>3.0999999999999999E-3</v>
      </c>
      <c r="N102" s="2">
        <v>2.6640000000000001E-3</v>
      </c>
      <c r="O102" s="2">
        <v>4.6344000000000003E-2</v>
      </c>
      <c r="P102" s="2">
        <v>3.2141000000000001E-3</v>
      </c>
      <c r="Q102" s="2">
        <v>0.16334378786155246</v>
      </c>
      <c r="R102" s="2">
        <f>VLOOKUP($A102,[1]Burgiss_Return!$B:$P,MATCH(R$2,[1]Burgiss_Return!$B$5:$P$5,0),0)</f>
        <v>5.6399999999999999E-2</v>
      </c>
      <c r="S102" s="2">
        <f>VLOOKUP($A102,[1]Burgiss_Return!$B:$P,MATCH(S$2,[1]Burgiss_Return!$B$5:$P$5,0),0)</f>
        <v>5.6399999999999999E-2</v>
      </c>
      <c r="T102" s="2">
        <f>VLOOKUP($A102,[1]Burgiss_Return!$B:$P,MATCH(T$2,[1]Burgiss_Return!$B$5:$P$5,0),0)</f>
        <v>5.6399999999999999E-2</v>
      </c>
      <c r="U102" s="2">
        <f>VLOOKUP($A102,[1]Burgiss_Return!$B:$P,MATCH(U$2,[1]Burgiss_Return!$B$5:$P$5,0),0)</f>
        <v>5.6399999999999999E-2</v>
      </c>
      <c r="V102" s="2">
        <v>6.4048892233165455E-2</v>
      </c>
    </row>
    <row r="103" spans="1:22" x14ac:dyDescent="0.2">
      <c r="A103" s="3">
        <v>45657</v>
      </c>
      <c r="B103" s="2">
        <f>VLOOKUP($A103,[1]Burgiss_Return!$B:$P,MATCH(B$2,[1]Burgiss_Return!$B$5:$P$5,0),0)</f>
        <v>5.0000000000000001E-3</v>
      </c>
      <c r="C103" s="2">
        <f>VLOOKUP($A103,[1]Burgiss_Return!$B:$P,MATCH(C$2,[1]Burgiss_Return!$B$5:$P$5,0),0)</f>
        <v>4.02E-2</v>
      </c>
      <c r="D103" s="2">
        <f>VLOOKUP($A103,[1]Burgiss_Return!$B:$P,MATCH(D$2,[1]Burgiss_Return!$B$5:$P$5,0),0)</f>
        <v>4.02E-2</v>
      </c>
      <c r="E103" s="2">
        <f>VLOOKUP($A103,[1]Burgiss_Return!$B:$P,MATCH(E$2,[1]Burgiss_Return!$B$5:$P$5,0),0)</f>
        <v>6.3E-3</v>
      </c>
      <c r="F103" s="2">
        <f>VLOOKUP($A103,[1]Burgiss_Return!$B:$P,MATCH(F$2,[1]Burgiss_Return!$B$5:$P$5,0),0)</f>
        <v>4.1999999999999997E-3</v>
      </c>
      <c r="G103" s="2">
        <f>VLOOKUP($A103,[1]Burgiss_Return!$B:$P,MATCH(G$2,[1]Burgiss_Return!$B$5:$P$5,0),0)</f>
        <v>6.3E-3</v>
      </c>
      <c r="H103" s="2">
        <f>VLOOKUP($A103,[1]Burgiss_Return!$B:$P,MATCH(H$2,[1]Burgiss_Return!$B$5:$P$5,0),0)</f>
        <v>-4.0000000000000001E-3</v>
      </c>
      <c r="I103" s="2">
        <f>VLOOKUP($A103,[1]Burgiss_Return!$B:$P,MATCH(I$2,[1]Burgiss_Return!$B$5:$P$5,0),0)</f>
        <v>1.1299999999999999E-2</v>
      </c>
      <c r="J103" s="2">
        <f>VLOOKUP($A103,[1]Burgiss_Return!$B:$P,MATCH(J$2,[1]Burgiss_Return!$B$5:$P$5,0),0)</f>
        <v>-6.4000000000000003E-3</v>
      </c>
      <c r="K103" s="2">
        <v>1.2765312221080682E-2</v>
      </c>
      <c r="L103" s="2">
        <v>7.8429999999999993E-3</v>
      </c>
      <c r="M103" s="2">
        <f>VLOOKUP($A103,[1]Burgiss_Return!$B:$P,MATCH(M$2,[1]Burgiss_Return!$B$5:$P$5,0),0)</f>
        <v>-2.3900000000000001E-2</v>
      </c>
      <c r="N103" s="2">
        <v>7.8429999999999993E-3</v>
      </c>
      <c r="O103" s="2">
        <v>-1.0506E-2</v>
      </c>
      <c r="P103" s="2">
        <v>2.92064E-2</v>
      </c>
      <c r="Q103" s="2">
        <v>-9.4520148653279845E-2</v>
      </c>
      <c r="R103" s="2">
        <f>VLOOKUP($A103,[1]Burgiss_Return!$B:$P,MATCH(R$2,[1]Burgiss_Return!$B$5:$P$5,0),0)</f>
        <v>-3.1399999999999997E-2</v>
      </c>
      <c r="S103" s="2">
        <f>VLOOKUP($A103,[1]Burgiss_Return!$B:$P,MATCH(S$2,[1]Burgiss_Return!$B$5:$P$5,0),0)</f>
        <v>-3.1399999999999997E-2</v>
      </c>
      <c r="T103" s="2">
        <f>VLOOKUP($A103,[1]Burgiss_Return!$B:$P,MATCH(T$2,[1]Burgiss_Return!$B$5:$P$5,0),0)</f>
        <v>-3.1399999999999997E-2</v>
      </c>
      <c r="U103" s="2">
        <f>VLOOKUP($A103,[1]Burgiss_Return!$B:$P,MATCH(U$2,[1]Burgiss_Return!$B$5:$P$5,0),0)</f>
        <v>-3.1399999999999997E-2</v>
      </c>
      <c r="V103" s="2">
        <v>-2.9153453018517683E-2</v>
      </c>
    </row>
    <row r="104" spans="1:22" x14ac:dyDescent="0.2">
      <c r="A104" s="3">
        <v>45747</v>
      </c>
      <c r="B104" s="2">
        <f>VLOOKUP($A104,[1]Burgiss_Return!$B:$P,MATCH(B$2,[1]Burgiss_Return!$B$5:$P$5,0),0)</f>
        <v>1.7999999999999999E-2</v>
      </c>
      <c r="C104" s="2">
        <f>VLOOKUP($A104,[1]Burgiss_Return!$B:$P,MATCH(C$2,[1]Burgiss_Return!$B$5:$P$5,0),0)</f>
        <v>3.3300000000000003E-2</v>
      </c>
      <c r="D104" s="2">
        <f>VLOOKUP($A104,[1]Burgiss_Return!$B:$P,MATCH(D$2,[1]Burgiss_Return!$B$5:$P$5,0),0)</f>
        <v>3.3300000000000003E-2</v>
      </c>
      <c r="E104" s="2">
        <f>VLOOKUP($A104,[1]Burgiss_Return!$B:$P,MATCH(E$2,[1]Burgiss_Return!$B$5:$P$5,0),0)</f>
        <v>1.21E-2</v>
      </c>
      <c r="F104" s="2">
        <f>VLOOKUP($A104,[1]Burgiss_Return!$B:$P,MATCH(F$2,[1]Burgiss_Return!$B$5:$P$5,0),0)</f>
        <v>1.4E-2</v>
      </c>
      <c r="G104" s="2">
        <f>VLOOKUP($A104,[1]Burgiss_Return!$B:$P,MATCH(G$2,[1]Burgiss_Return!$B$5:$P$5,0),0)</f>
        <v>1.21E-2</v>
      </c>
      <c r="H104" s="2">
        <f>VLOOKUP($A104,[1]Burgiss_Return!$B:$P,MATCH(H$2,[1]Burgiss_Return!$B$5:$P$5,0),0)</f>
        <v>3.1699999999999999E-2</v>
      </c>
      <c r="I104" s="2">
        <f>VLOOKUP($A104,[1]Burgiss_Return!$B:$P,MATCH(I$2,[1]Burgiss_Return!$B$5:$P$5,0),0)</f>
        <v>1.7100000000000001E-2</v>
      </c>
      <c r="J104" s="2">
        <f>VLOOKUP($A104,[1]Burgiss_Return!$B:$P,MATCH(J$2,[1]Burgiss_Return!$B$5:$P$5,0),0)</f>
        <v>1.6E-2</v>
      </c>
      <c r="K104" s="2">
        <v>7.3030261655120388E-3</v>
      </c>
      <c r="L104" s="2"/>
      <c r="M104" s="2">
        <f>VLOOKUP($A104,[1]Burgiss_Return!$B:$P,MATCH(M$2,[1]Burgiss_Return!$B$5:$P$5,0),0)</f>
        <v>7.4000000000000003E-3</v>
      </c>
      <c r="N104" s="2"/>
      <c r="O104" s="2">
        <v>3.2300000000000002E-2</v>
      </c>
      <c r="P104" s="2">
        <v>1.10708E-2</v>
      </c>
      <c r="Q104" s="2">
        <v>1.8545826850421721E-2</v>
      </c>
      <c r="R104" s="2">
        <f>VLOOKUP($A104,[1]Burgiss_Return!$B:$P,MATCH(R$2,[1]Burgiss_Return!$B$5:$P$5,0),0)</f>
        <v>3.0700000000000002E-2</v>
      </c>
      <c r="S104" s="2">
        <f>VLOOKUP($A104,[1]Burgiss_Return!$B:$P,MATCH(S$2,[1]Burgiss_Return!$B$5:$P$5,0),0)</f>
        <v>3.0700000000000002E-2</v>
      </c>
      <c r="T104" s="2">
        <f>VLOOKUP($A104,[1]Burgiss_Return!$B:$P,MATCH(T$2,[1]Burgiss_Return!$B$5:$P$5,0),0)</f>
        <v>3.0700000000000002E-2</v>
      </c>
      <c r="U104" s="2">
        <f>VLOOKUP($A104,[1]Burgiss_Return!$B:$P,MATCH(U$2,[1]Burgiss_Return!$B$5:$P$5,0),0)</f>
        <v>3.0700000000000002E-2</v>
      </c>
      <c r="V104" s="2">
        <v>1.9242912065651208E-2</v>
      </c>
    </row>
    <row r="105" spans="1:22" x14ac:dyDescent="0.2">
      <c r="A105" s="3">
        <v>45838</v>
      </c>
      <c r="B105" s="2">
        <f>VLOOKUP($A105,[1]Burgiss_Return!$B:$P,MATCH(B$2,[1]Burgiss_Return!$B$5:$P$5,0),0)</f>
        <v>4.3200000000000002E-2</v>
      </c>
      <c r="C105" s="2">
        <f>VLOOKUP($A105,[1]Burgiss_Return!$B:$P,MATCH(C$2,[1]Burgiss_Return!$B$5:$P$5,0),0)</f>
        <v>5.2499999999999998E-2</v>
      </c>
      <c r="D105" s="2">
        <f>VLOOKUP($A105,[1]Burgiss_Return!$B:$P,MATCH(D$2,[1]Burgiss_Return!$B$5:$P$5,0),0)</f>
        <v>5.2499999999999998E-2</v>
      </c>
      <c r="E105" s="2">
        <f>VLOOKUP($A105,[1]Burgiss_Return!$B:$P,MATCH(E$2,[1]Burgiss_Return!$B$5:$P$5,0),0)</f>
        <v>2.7300000000000001E-2</v>
      </c>
      <c r="F105" s="2">
        <f>VLOOKUP($A105,[1]Burgiss_Return!$B:$P,MATCH(F$2,[1]Burgiss_Return!$B$5:$P$5,0),0)</f>
        <v>3.8100000000000002E-2</v>
      </c>
      <c r="G105" s="2">
        <f>VLOOKUP($A105,[1]Burgiss_Return!$B:$P,MATCH(G$2,[1]Burgiss_Return!$B$5:$P$5,0),0)</f>
        <v>2.7300000000000001E-2</v>
      </c>
      <c r="H105" s="2">
        <f>VLOOKUP($A105,[1]Burgiss_Return!$B:$P,MATCH(H$2,[1]Burgiss_Return!$B$5:$P$5,0),0)</f>
        <v>3.7199999999999997E-2</v>
      </c>
      <c r="I105" s="2">
        <f>VLOOKUP($A105,[1]Burgiss_Return!$B:$P,MATCH(I$2,[1]Burgiss_Return!$B$5:$P$5,0),0)</f>
        <v>3.7900000000000003E-2</v>
      </c>
      <c r="J105" s="2">
        <f>VLOOKUP($A105,[1]Burgiss_Return!$B:$P,MATCH(J$2,[1]Burgiss_Return!$B$5:$P$5,0),0)</f>
        <v>3.7900000000000003E-2</v>
      </c>
      <c r="K105" s="2">
        <v>1.9465085159557471E-2</v>
      </c>
      <c r="L105" s="2"/>
      <c r="M105" s="2">
        <f>VLOOKUP($A105,[1]Burgiss_Return!$B:$P,MATCH(M$2,[1]Burgiss_Return!$B$5:$P$5,0),0)</f>
        <v>1.7000000000000001E-2</v>
      </c>
      <c r="N105" s="2"/>
      <c r="O105" s="2">
        <v>1.8700000000000001E-2</v>
      </c>
      <c r="P105" s="2">
        <v>-1.3313000000000001E-3</v>
      </c>
      <c r="Q105" s="2">
        <v>4.7196102671739126E-2</v>
      </c>
      <c r="R105" s="2">
        <f>VLOOKUP($A105,[1]Burgiss_Return!$B:$P,MATCH(R$2,[1]Burgiss_Return!$B$5:$P$5,0),0)</f>
        <v>8.1900000000000001E-2</v>
      </c>
      <c r="S105" s="2">
        <f>VLOOKUP($A105,[1]Burgiss_Return!$B:$P,MATCH(S$2,[1]Burgiss_Return!$B$5:$P$5,0),0)</f>
        <v>8.1900000000000001E-2</v>
      </c>
      <c r="T105" s="2">
        <f>VLOOKUP($A105,[1]Burgiss_Return!$B:$P,MATCH(T$2,[1]Burgiss_Return!$B$5:$P$5,0),0)</f>
        <v>8.1900000000000001E-2</v>
      </c>
      <c r="U105" s="2">
        <f>VLOOKUP($A105,[1]Burgiss_Return!$B:$P,MATCH(U$2,[1]Burgiss_Return!$B$5:$P$5,0),0)</f>
        <v>8.1900000000000001E-2</v>
      </c>
      <c r="V105" s="2">
        <v>1.6405816804795803E-2</v>
      </c>
    </row>
    <row r="106" spans="1:22" x14ac:dyDescent="0.2">
      <c r="A106" s="3">
        <v>45930</v>
      </c>
      <c r="B106" s="2">
        <f>VLOOKUP($A106,[1]Burgiss_Return!$B:$P,MATCH(B$2,[1]Burgiss_Return!$B$5:$P$5,0),0)</f>
        <v>1.5900000000000001E-2</v>
      </c>
      <c r="C106" s="2">
        <f>VLOOKUP($A106,[1]Burgiss_Return!$B:$P,MATCH(C$2,[1]Burgiss_Return!$B$5:$P$5,0),0)</f>
        <v>7.4200000000000002E-2</v>
      </c>
      <c r="D106" s="2">
        <f>VLOOKUP($A106,[1]Burgiss_Return!$B:$P,MATCH(D$2,[1]Burgiss_Return!$B$5:$P$5,0),0)</f>
        <v>7.4200000000000002E-2</v>
      </c>
      <c r="E106" s="2">
        <f>VLOOKUP($A106,[1]Burgiss_Return!$B:$P,MATCH(E$2,[1]Burgiss_Return!$B$5:$P$5,0),0)</f>
        <v>2.5499999999999998E-2</v>
      </c>
      <c r="F106" s="2">
        <f>VLOOKUP($A106,[1]Burgiss_Return!$B:$P,MATCH(F$2,[1]Burgiss_Return!$B$5:$P$5,0),0)</f>
        <v>3.9600000000000003E-2</v>
      </c>
      <c r="G106" s="2">
        <f>VLOOKUP($A106,[1]Burgiss_Return!$B:$P,MATCH(G$2,[1]Burgiss_Return!$B$5:$P$5,0),0)</f>
        <v>2.5499999999999998E-2</v>
      </c>
      <c r="H106" s="2">
        <f>VLOOKUP($A106,[1]Burgiss_Return!$B:$P,MATCH(H$2,[1]Burgiss_Return!$B$5:$P$5,0),0)</f>
        <v>1.5599999999999999E-2</v>
      </c>
      <c r="I106" s="2">
        <f>VLOOKUP($A106,[1]Burgiss_Return!$B:$P,MATCH(I$2,[1]Burgiss_Return!$B$5:$P$5,0),0)</f>
        <v>2.0299999999999999E-2</v>
      </c>
      <c r="J106" s="2">
        <f>VLOOKUP($A106,[1]Burgiss_Return!$B:$P,MATCH(J$2,[1]Burgiss_Return!$B$5:$P$5,0),0)</f>
        <v>3.6299999999999999E-2</v>
      </c>
      <c r="K106" s="2">
        <v>2.8056075441357464E-2</v>
      </c>
      <c r="L106" s="2"/>
      <c r="M106" s="2">
        <f>VLOOKUP($A106,[1]Burgiss_Return!$B:$P,MATCH(M$2,[1]Burgiss_Return!$B$5:$P$5,0),0)</f>
        <v>-3.7000000000000002E-3</v>
      </c>
      <c r="N106" s="2"/>
      <c r="O106" s="2"/>
      <c r="P106" s="2"/>
      <c r="Q106" s="2">
        <v>4.3119182163888325E-2</v>
      </c>
      <c r="R106" s="2">
        <f>VLOOKUP($A106,[1]Burgiss_Return!$B:$P,MATCH(R$2,[1]Burgiss_Return!$B$5:$P$5,0),0)</f>
        <v>7.7999999999999996E-3</v>
      </c>
      <c r="S106" s="2">
        <f>VLOOKUP($A106,[1]Burgiss_Return!$B:$P,MATCH(S$2,[1]Burgiss_Return!$B$5:$P$5,0),0)</f>
        <v>7.7999999999999996E-3</v>
      </c>
      <c r="T106" s="2">
        <f>VLOOKUP($A106,[1]Burgiss_Return!$B:$P,MATCH(T$2,[1]Burgiss_Return!$B$5:$P$5,0),0)</f>
        <v>7.7999999999999996E-3</v>
      </c>
      <c r="U106" s="2">
        <f>VLOOKUP($A106,[1]Burgiss_Return!$B:$P,MATCH(U$2,[1]Burgiss_Return!$B$5:$P$5,0),0)</f>
        <v>7.7999999999999996E-3</v>
      </c>
      <c r="V106" s="2">
        <v>3.0681805180392097E-2</v>
      </c>
    </row>
    <row r="107" spans="1:22" x14ac:dyDescent="0.2">
      <c r="A107" s="3">
        <v>46022</v>
      </c>
      <c r="B107" s="2">
        <f>VLOOKUP($A107,[1]Burgiss_Return!$B:$P,MATCH(B$2,[1]Burgiss_Return!$B$5:$P$5,0),0)</f>
        <v>1.9400000000000001E-2</v>
      </c>
      <c r="C107" s="2">
        <f>VLOOKUP($A107,[1]Burgiss_Return!$B:$P,MATCH(C$2,[1]Burgiss_Return!$B$5:$P$5,0),0)</f>
        <v>8.8900000000000007E-2</v>
      </c>
      <c r="D107" s="2">
        <f>VLOOKUP($A107,[1]Burgiss_Return!$B:$P,MATCH(D$2,[1]Burgiss_Return!$B$5:$P$5,0),0)</f>
        <v>8.8900000000000007E-2</v>
      </c>
      <c r="E107" s="2">
        <f>VLOOKUP($A107,[1]Burgiss_Return!$B:$P,MATCH(E$2,[1]Burgiss_Return!$B$5:$P$5,0),0)</f>
        <v>1.32E-2</v>
      </c>
      <c r="F107" s="2">
        <f>VLOOKUP($A107,[1]Burgiss_Return!$B:$P,MATCH(F$2,[1]Burgiss_Return!$B$5:$P$5,0),0)</f>
        <v>3.5900000000000001E-2</v>
      </c>
      <c r="G107" s="2">
        <f>VLOOKUP($A107,[1]Burgiss_Return!$B:$P,MATCH(G$2,[1]Burgiss_Return!$B$5:$P$5,0),0)</f>
        <v>1.32E-2</v>
      </c>
      <c r="H107" s="2">
        <f>VLOOKUP($A107,[1]Burgiss_Return!$B:$P,MATCH(H$2,[1]Burgiss_Return!$B$5:$P$5,0),0)</f>
        <v>9.4999999999999998E-3</v>
      </c>
      <c r="I107" s="2">
        <f>VLOOKUP($A107,[1]Burgiss_Return!$B:$P,MATCH(I$2,[1]Burgiss_Return!$B$5:$P$5,0),0)</f>
        <v>1.47E-2</v>
      </c>
      <c r="J107" s="2">
        <f>VLOOKUP($A107,[1]Burgiss_Return!$B:$P,MATCH(J$2,[1]Burgiss_Return!$B$5:$P$5,0),0)</f>
        <v>2.7799999999999998E-2</v>
      </c>
      <c r="K107" s="2">
        <v>2.3419320685547307E-2</v>
      </c>
      <c r="L107" s="2"/>
      <c r="M107" s="2">
        <f>VLOOKUP($A107,[1]Burgiss_Return!$B:$P,MATCH(M$2,[1]Burgiss_Return!$B$5:$P$5,0),0)</f>
        <v>8.0000000000000004E-4</v>
      </c>
      <c r="N107" s="2"/>
      <c r="O107" s="2"/>
      <c r="P107" s="2"/>
      <c r="Q107" s="2">
        <v>-5.0081044493356375E-3</v>
      </c>
      <c r="R107" s="2">
        <f>VLOOKUP($A107,[1]Burgiss_Return!$B:$P,MATCH(R$2,[1]Burgiss_Return!$B$5:$P$5,0),0)</f>
        <v>1.7000000000000001E-2</v>
      </c>
      <c r="S107" s="2">
        <f>VLOOKUP($A107,[1]Burgiss_Return!$B:$P,MATCH(S$2,[1]Burgiss_Return!$B$5:$P$5,0),0)</f>
        <v>1.7000000000000001E-2</v>
      </c>
      <c r="T107" s="2">
        <f>VLOOKUP($A107,[1]Burgiss_Return!$B:$P,MATCH(T$2,[1]Burgiss_Return!$B$5:$P$5,0),0)</f>
        <v>1.7000000000000001E-2</v>
      </c>
      <c r="U107" s="2">
        <f>VLOOKUP($A107,[1]Burgiss_Return!$B:$P,MATCH(U$2,[1]Burgiss_Return!$B$5:$P$5,0),0)</f>
        <v>1.7000000000000001E-2</v>
      </c>
      <c r="V107" s="2">
        <v>8.5031104571808847E-3</v>
      </c>
    </row>
    <row r="108" spans="1:22" x14ac:dyDescent="0.2">
      <c r="A108" s="3">
        <v>46112</v>
      </c>
      <c r="B108" s="2">
        <f>VLOOKUP($A108,[1]Burgiss_Return!$B:$P,MATCH(B$2,[1]Burgiss_Return!$B$5:$P$5,0),0)</f>
        <v>-9.1999999999999998E-3</v>
      </c>
      <c r="C108" s="2">
        <f>VLOOKUP($A108,[1]Burgiss_Return!$B:$P,MATCH(C$2,[1]Burgiss_Return!$B$5:$P$5,0),0)</f>
        <v>3.8100000000000002E-2</v>
      </c>
      <c r="D108" s="2">
        <f>VLOOKUP($A108,[1]Burgiss_Return!$B:$P,MATCH(D$2,[1]Burgiss_Return!$B$5:$P$5,0),0)</f>
        <v>3.8100000000000002E-2</v>
      </c>
      <c r="E108" s="2">
        <f>VLOOKUP($A108,[1]Burgiss_Return!$B:$P,MATCH(E$2,[1]Burgiss_Return!$B$5:$P$5,0),0)</f>
        <v>-5.7999999999999996E-3</v>
      </c>
      <c r="F108" s="2">
        <f>VLOOKUP($A108,[1]Burgiss_Return!$B:$P,MATCH(F$2,[1]Burgiss_Return!$B$5:$P$5,0),0)</f>
        <v>5.4000000000000003E-3</v>
      </c>
      <c r="G108" s="2">
        <f>VLOOKUP($A108,[1]Burgiss_Return!$B:$P,MATCH(G$2,[1]Burgiss_Return!$B$5:$P$5,0),0)</f>
        <v>-5.7999999999999996E-3</v>
      </c>
      <c r="H108" s="2">
        <f>VLOOKUP($A108,[1]Burgiss_Return!$B:$P,MATCH(H$2,[1]Burgiss_Return!$B$5:$P$5,0),0)</f>
        <v>-1.6000000000000001E-3</v>
      </c>
      <c r="I108" s="2">
        <f>VLOOKUP($A108,[1]Burgiss_Return!$B:$P,MATCH(I$2,[1]Burgiss_Return!$B$5:$P$5,0),0)</f>
        <v>1.14E-2</v>
      </c>
      <c r="J108" s="2">
        <f>VLOOKUP($A108,[1]Burgiss_Return!$B:$P,MATCH(J$2,[1]Burgiss_Return!$B$5:$P$5,0),0)</f>
        <v>1.8599999999999998E-2</v>
      </c>
      <c r="K108" s="2">
        <v>1.1462836341417759E-2</v>
      </c>
      <c r="L108" s="2"/>
      <c r="M108" s="2">
        <f>VLOOKUP($A108,[1]Burgiss_Return!$B:$P,MATCH(M$2,[1]Burgiss_Return!$B$5:$P$5,0),0)</f>
        <v>-5.3E-3</v>
      </c>
      <c r="N108" s="2"/>
      <c r="O108" s="2"/>
      <c r="P108" s="2"/>
      <c r="Q108" s="2">
        <v>1.3008541471442037E-2</v>
      </c>
      <c r="R108" s="2">
        <f>VLOOKUP($A108,[1]Burgiss_Return!$B:$P,MATCH(R$2,[1]Burgiss_Return!$B$5:$P$5,0),0)</f>
        <v>-6.8999999999999999E-3</v>
      </c>
      <c r="S108" s="2">
        <f>VLOOKUP($A108,[1]Burgiss_Return!$B:$P,MATCH(S$2,[1]Burgiss_Return!$B$5:$P$5,0),0)</f>
        <v>-6.8999999999999999E-3</v>
      </c>
      <c r="T108" s="2">
        <f>VLOOKUP($A108,[1]Burgiss_Return!$B:$P,MATCH(T$2,[1]Burgiss_Return!$B$5:$P$5,0),0)</f>
        <v>-6.8999999999999999E-3</v>
      </c>
      <c r="U108" s="2">
        <f>VLOOKUP($A108,[1]Burgiss_Return!$B:$P,MATCH(U$2,[1]Burgiss_Return!$B$5:$P$5,0),0)</f>
        <v>-6.8999999999999999E-3</v>
      </c>
      <c r="V108" s="2">
        <v>-3.7779273183019546E-3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6"/>
  <sheetViews>
    <sheetView tabSelected="1" workbookViewId="0">
      <selection activeCell="A3" sqref="A3"/>
    </sheetView>
  </sheetViews>
  <sheetFormatPr defaultRowHeight="12" x14ac:dyDescent="0.2"/>
  <cols>
    <col min="1" max="1" width="11.28515625" bestFit="1" customWidth="1"/>
  </cols>
  <sheetData>
    <row r="1" spans="1:22" ht="12.75" thickBot="1" x14ac:dyDescent="0.25">
      <c r="A1" s="13" t="s">
        <v>39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40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21</v>
      </c>
      <c r="V1" s="13" t="s">
        <v>22</v>
      </c>
    </row>
    <row r="2" spans="1:22" ht="12.75" thickTop="1" x14ac:dyDescent="0.2">
      <c r="A2" s="1">
        <v>36616</v>
      </c>
      <c r="B2" s="12">
        <f>IF(VLOOKUP($A2,값!$A:$W,MATCH(Main!B$1,값!$2:$2,0),0)="",NA(),VLOOKUP($A2,값!$A:$W,MATCH(Main!B$1,값!$2:$2,0),0))</f>
        <v>0.1103</v>
      </c>
      <c r="C2" s="12">
        <f>IF(VLOOKUP($A2,값!$A:$W,MATCH(Main!C$1,값!$2:$2,0),0)="",NA(),VLOOKUP($A2,값!$A:$W,MATCH(Main!C$1,값!$2:$2,0),0))</f>
        <v>0.15329999999999999</v>
      </c>
      <c r="D2" s="12">
        <f>IF(VLOOKUP($A2,값!$A:$W,MATCH(Main!D$1,값!$2:$2,0),0)="",NA(),VLOOKUP($A2,값!$A:$W,MATCH(Main!D$1,값!$2:$2,0),0))</f>
        <v>0.15329999999999999</v>
      </c>
      <c r="E2" s="12" t="e">
        <f>IF(VLOOKUP($A2,값!$A:$W,MATCH(Main!E$1,값!$2:$2,0),0)="",NA(),VLOOKUP($A2,값!$A:$W,MATCH(Main!E$1,값!$2:$2,0),0))</f>
        <v>#N/A</v>
      </c>
      <c r="F2" s="12">
        <f>IF(VLOOKUP($A2,값!$A:$W,MATCH(Main!F$1,값!$2:$2,0),0)="",NA(),VLOOKUP($A2,값!$A:$W,MATCH(Main!F$1,값!$2:$2,0),0))</f>
        <v>5.3E-3</v>
      </c>
      <c r="G2" s="12" t="e">
        <f>IF(VLOOKUP($A2,값!$A:$W,MATCH(Main!G$1,값!$2:$2,0),0)="",NA(),VLOOKUP($A2,값!$A:$W,MATCH(Main!G$1,값!$2:$2,0),0))</f>
        <v>#N/A</v>
      </c>
      <c r="H2" s="12" t="e">
        <f>IF(VLOOKUP($A2,값!$A:$W,MATCH(Main!H$1,값!$2:$2,0),0)="",NA(),VLOOKUP($A2,값!$A:$W,MATCH(Main!H$1,값!$2:$2,0),0))</f>
        <v>#N/A</v>
      </c>
      <c r="I2" s="12">
        <f>IF(VLOOKUP($A2,값!$A:$W,MATCH(Main!I$1,값!$2:$2,0),0)="",NA(),VLOOKUP($A2,값!$A:$W,MATCH(Main!I$1,값!$2:$2,0),0))</f>
        <v>1.14E-2</v>
      </c>
      <c r="J2" s="12">
        <f>IF(VLOOKUP($A2,값!$A:$W,MATCH(Main!J$1,값!$2:$2,0),0)="",NA(),VLOOKUP($A2,값!$A:$W,MATCH(Main!J$1,값!$2:$2,0),0))</f>
        <v>3.8300000000000001E-2</v>
      </c>
      <c r="K2" s="12">
        <f>IF(VLOOKUP($A2,값!$A:$W,MATCH(Main!K$1,값!$2:$2,0),0)="",NA(),VLOOKUP($A2,값!$A:$W,MATCH(Main!K$1,값!$2:$2,0),0))</f>
        <v>4.8656060812545698E-2</v>
      </c>
      <c r="L2" s="12" t="e">
        <f>IF(VLOOKUP($A2,값!$A:$W,MATCH(Main!L$1,값!$2:$2,0),0)="",NA(),VLOOKUP($A2,값!$A:$W,MATCH(Main!L$1,값!$2:$2,0),0))</f>
        <v>#N/A</v>
      </c>
      <c r="M2" s="12">
        <f>IF(VLOOKUP($A2,값!$A:$W,MATCH(Main!M$1,값!$2:$2,0),0)="",NA(),VLOOKUP($A2,값!$A:$W,MATCH(Main!M$1,값!$2:$2,0),0))</f>
        <v>3.3399999999999999E-2</v>
      </c>
      <c r="N2" s="12" t="e">
        <f>IF(VLOOKUP($A2,값!$A:$W,MATCH(Main!N$1,값!$2:$2,0),0)="",NA(),VLOOKUP($A2,값!$A:$W,MATCH(Main!N$1,값!$2:$2,0),0))</f>
        <v>#N/A</v>
      </c>
      <c r="O2" s="12" t="e">
        <f>IF(VLOOKUP($A2,값!$A:$W,MATCH(Main!O$1,값!$2:$2,0),0)="",NA(),VLOOKUP($A2,값!$A:$W,MATCH(Main!O$1,값!$2:$2,0),0))</f>
        <v>#N/A</v>
      </c>
      <c r="P2" s="12" t="e">
        <f>IF(VLOOKUP($A2,값!$A:$W,MATCH(Main!P$1,값!$2:$2,0),0)="",NA(),VLOOKUP($A2,값!$A:$W,MATCH(Main!P$1,값!$2:$2,0),0))</f>
        <v>#N/A</v>
      </c>
      <c r="Q2" s="12">
        <f>IF(VLOOKUP($A2,값!$A:$W,MATCH(Main!Q$1,값!$2:$2,0),0)="",NA(),VLOOKUP($A2,값!$A:$W,MATCH(Main!Q$1,값!$2:$2,0),0))</f>
        <v>-2.4799999999999933E-2</v>
      </c>
      <c r="R2" s="12" t="e">
        <f>IF(VLOOKUP($A2,값!$A:$W,MATCH(Main!R$1,값!$2:$2,0),0)="",NA(),VLOOKUP($A2,값!$A:$W,MATCH(Main!R$1,값!$2:$2,0),0))</f>
        <v>#N/A</v>
      </c>
      <c r="S2" s="12" t="e">
        <f>IF(VLOOKUP($A2,값!$A:$W,MATCH(Main!S$1,값!$2:$2,0),0)="",NA(),VLOOKUP($A2,값!$A:$W,MATCH(Main!S$1,값!$2:$2,0),0))</f>
        <v>#N/A</v>
      </c>
      <c r="T2" s="12" t="e">
        <f>IF(VLOOKUP($A2,값!$A:$W,MATCH(Main!T$1,값!$2:$2,0),0)="",NA(),VLOOKUP($A2,값!$A:$W,MATCH(Main!T$1,값!$2:$2,0),0))</f>
        <v>#N/A</v>
      </c>
      <c r="U2" s="12" t="e">
        <f>IF(VLOOKUP($A2,값!$A:$W,MATCH(Main!U$1,값!$2:$2,0),0)="",NA(),VLOOKUP($A2,값!$A:$W,MATCH(Main!U$1,값!$2:$2,0),0))</f>
        <v>#N/A</v>
      </c>
      <c r="V2" s="12" t="e">
        <f>IF(VLOOKUP($A2,값!$A:$W,MATCH(Main!V$1,값!$2:$2,0),0)="",NA(),VLOOKUP($A2,값!$A:$W,MATCH(Main!V$1,값!$2:$2,0),0))</f>
        <v>#N/A</v>
      </c>
    </row>
    <row r="3" spans="1:22" x14ac:dyDescent="0.2">
      <c r="A3" s="1">
        <v>36707</v>
      </c>
      <c r="B3" s="12">
        <f>IF(VLOOKUP($A3,값!$A:$W,MATCH(Main!B$1,값!$2:$2,0),0)="",NA(),VLOOKUP($A3,값!$A:$W,MATCH(Main!B$1,값!$2:$2,0),0))</f>
        <v>-8.9999999999999998E-4</v>
      </c>
      <c r="C3" s="12">
        <f>IF(VLOOKUP($A3,값!$A:$W,MATCH(Main!C$1,값!$2:$2,0),0)="",NA(),VLOOKUP($A3,값!$A:$W,MATCH(Main!C$1,값!$2:$2,0),0))</f>
        <v>7.51E-2</v>
      </c>
      <c r="D3" s="12">
        <f>IF(VLOOKUP($A3,값!$A:$W,MATCH(Main!D$1,값!$2:$2,0),0)="",NA(),VLOOKUP($A3,값!$A:$W,MATCH(Main!D$1,값!$2:$2,0),0))</f>
        <v>7.51E-2</v>
      </c>
      <c r="E3" s="12" t="e">
        <f>IF(VLOOKUP($A3,값!$A:$W,MATCH(Main!E$1,값!$2:$2,0),0)="",NA(),VLOOKUP($A3,값!$A:$W,MATCH(Main!E$1,값!$2:$2,0),0))</f>
        <v>#N/A</v>
      </c>
      <c r="F3" s="12">
        <f>IF(VLOOKUP($A3,값!$A:$W,MATCH(Main!F$1,값!$2:$2,0),0)="",NA(),VLOOKUP($A3,값!$A:$W,MATCH(Main!F$1,값!$2:$2,0),0))</f>
        <v>3.6299999999999999E-2</v>
      </c>
      <c r="G3" s="12" t="e">
        <f>IF(VLOOKUP($A3,값!$A:$W,MATCH(Main!G$1,값!$2:$2,0),0)="",NA(),VLOOKUP($A3,값!$A:$W,MATCH(Main!G$1,값!$2:$2,0),0))</f>
        <v>#N/A</v>
      </c>
      <c r="H3" s="12" t="e">
        <f>IF(VLOOKUP($A3,값!$A:$W,MATCH(Main!H$1,값!$2:$2,0),0)="",NA(),VLOOKUP($A3,값!$A:$W,MATCH(Main!H$1,값!$2:$2,0),0))</f>
        <v>#N/A</v>
      </c>
      <c r="I3" s="12">
        <f>IF(VLOOKUP($A3,값!$A:$W,MATCH(Main!I$1,값!$2:$2,0),0)="",NA(),VLOOKUP($A3,값!$A:$W,MATCH(Main!I$1,값!$2:$2,0),0))</f>
        <v>1.5900000000000001E-2</v>
      </c>
      <c r="J3" s="12">
        <f>IF(VLOOKUP($A3,값!$A:$W,MATCH(Main!J$1,값!$2:$2,0),0)="",NA(),VLOOKUP($A3,값!$A:$W,MATCH(Main!J$1,값!$2:$2,0),0))</f>
        <v>-8.5199999999999998E-2</v>
      </c>
      <c r="K3" s="12">
        <f>IF(VLOOKUP($A3,값!$A:$W,MATCH(Main!K$1,값!$2:$2,0),0)="",NA(),VLOOKUP($A3,값!$A:$W,MATCH(Main!K$1,값!$2:$2,0),0))</f>
        <v>-5.5559233583125645E-3</v>
      </c>
      <c r="L3" s="12" t="e">
        <f>IF(VLOOKUP($A3,값!$A:$W,MATCH(Main!L$1,값!$2:$2,0),0)="",NA(),VLOOKUP($A3,값!$A:$W,MATCH(Main!L$1,값!$2:$2,0),0))</f>
        <v>#N/A</v>
      </c>
      <c r="M3" s="12">
        <f>IF(VLOOKUP($A3,값!$A:$W,MATCH(Main!M$1,값!$2:$2,0),0)="",NA(),VLOOKUP($A3,값!$A:$W,MATCH(Main!M$1,값!$2:$2,0),0))</f>
        <v>5.6599999999999998E-2</v>
      </c>
      <c r="N3" s="12" t="e">
        <f>IF(VLOOKUP($A3,값!$A:$W,MATCH(Main!N$1,값!$2:$2,0),0)="",NA(),VLOOKUP($A3,값!$A:$W,MATCH(Main!N$1,값!$2:$2,0),0))</f>
        <v>#N/A</v>
      </c>
      <c r="O3" s="12" t="e">
        <f>IF(VLOOKUP($A3,값!$A:$W,MATCH(Main!O$1,값!$2:$2,0),0)="",NA(),VLOOKUP($A3,값!$A:$W,MATCH(Main!O$1,값!$2:$2,0),0))</f>
        <v>#N/A</v>
      </c>
      <c r="P3" s="12" t="e">
        <f>IF(VLOOKUP($A3,값!$A:$W,MATCH(Main!P$1,값!$2:$2,0),0)="",NA(),VLOOKUP($A3,값!$A:$W,MATCH(Main!P$1,값!$2:$2,0),0))</f>
        <v>#N/A</v>
      </c>
      <c r="Q3" s="12">
        <f>IF(VLOOKUP($A3,값!$A:$W,MATCH(Main!Q$1,값!$2:$2,0),0)="",NA(),VLOOKUP($A3,값!$A:$W,MATCH(Main!Q$1,값!$2:$2,0),0))</f>
        <v>3.6095159967186152E-2</v>
      </c>
      <c r="R3" s="12" t="e">
        <f>IF(VLOOKUP($A3,값!$A:$W,MATCH(Main!R$1,값!$2:$2,0),0)="",NA(),VLOOKUP($A3,값!$A:$W,MATCH(Main!R$1,값!$2:$2,0),0))</f>
        <v>#N/A</v>
      </c>
      <c r="S3" s="12" t="e">
        <f>IF(VLOOKUP($A3,값!$A:$W,MATCH(Main!S$1,값!$2:$2,0),0)="",NA(),VLOOKUP($A3,값!$A:$W,MATCH(Main!S$1,값!$2:$2,0),0))</f>
        <v>#N/A</v>
      </c>
      <c r="T3" s="12" t="e">
        <f>IF(VLOOKUP($A3,값!$A:$W,MATCH(Main!T$1,값!$2:$2,0),0)="",NA(),VLOOKUP($A3,값!$A:$W,MATCH(Main!T$1,값!$2:$2,0),0))</f>
        <v>#N/A</v>
      </c>
      <c r="U3" s="12" t="e">
        <f>IF(VLOOKUP($A3,값!$A:$W,MATCH(Main!U$1,값!$2:$2,0),0)="",NA(),VLOOKUP($A3,값!$A:$W,MATCH(Main!U$1,값!$2:$2,0),0))</f>
        <v>#N/A</v>
      </c>
      <c r="V3" s="12" t="e">
        <f>IF(VLOOKUP($A3,값!$A:$W,MATCH(Main!V$1,값!$2:$2,0),0)="",NA(),VLOOKUP($A3,값!$A:$W,MATCH(Main!V$1,값!$2:$2,0),0))</f>
        <v>#N/A</v>
      </c>
    </row>
    <row r="4" spans="1:22" x14ac:dyDescent="0.2">
      <c r="A4" s="1">
        <v>36799</v>
      </c>
      <c r="B4" s="12">
        <f>IF(VLOOKUP($A4,값!$A:$W,MATCH(Main!B$1,값!$2:$2,0),0)="",NA(),VLOOKUP($A4,값!$A:$W,MATCH(Main!B$1,값!$2:$2,0),0))</f>
        <v>-2.9499999999999998E-2</v>
      </c>
      <c r="C4" s="12">
        <f>IF(VLOOKUP($A4,값!$A:$W,MATCH(Main!C$1,값!$2:$2,0),0)="",NA(),VLOOKUP($A4,값!$A:$W,MATCH(Main!C$1,값!$2:$2,0),0))</f>
        <v>0.1497</v>
      </c>
      <c r="D4" s="12">
        <f>IF(VLOOKUP($A4,값!$A:$W,MATCH(Main!D$1,값!$2:$2,0),0)="",NA(),VLOOKUP($A4,값!$A:$W,MATCH(Main!D$1,값!$2:$2,0),0))</f>
        <v>0.1497</v>
      </c>
      <c r="E4" s="12" t="e">
        <f>IF(VLOOKUP($A4,값!$A:$W,MATCH(Main!E$1,값!$2:$2,0),0)="",NA(),VLOOKUP($A4,값!$A:$W,MATCH(Main!E$1,값!$2:$2,0),0))</f>
        <v>#N/A</v>
      </c>
      <c r="F4" s="12">
        <f>IF(VLOOKUP($A4,값!$A:$W,MATCH(Main!F$1,값!$2:$2,0),0)="",NA(),VLOOKUP($A4,값!$A:$W,MATCH(Main!F$1,값!$2:$2,0),0))</f>
        <v>8.8999999999999999E-3</v>
      </c>
      <c r="G4" s="12" t="e">
        <f>IF(VLOOKUP($A4,값!$A:$W,MATCH(Main!G$1,값!$2:$2,0),0)="",NA(),VLOOKUP($A4,값!$A:$W,MATCH(Main!G$1,값!$2:$2,0),0))</f>
        <v>#N/A</v>
      </c>
      <c r="H4" s="12" t="e">
        <f>IF(VLOOKUP($A4,값!$A:$W,MATCH(Main!H$1,값!$2:$2,0),0)="",NA(),VLOOKUP($A4,값!$A:$W,MATCH(Main!H$1,값!$2:$2,0),0))</f>
        <v>#N/A</v>
      </c>
      <c r="I4" s="12">
        <f>IF(VLOOKUP($A4,값!$A:$W,MATCH(Main!I$1,값!$2:$2,0),0)="",NA(),VLOOKUP($A4,값!$A:$W,MATCH(Main!I$1,값!$2:$2,0),0))</f>
        <v>3.6799999999999999E-2</v>
      </c>
      <c r="J4" s="12">
        <f>IF(VLOOKUP($A4,값!$A:$W,MATCH(Main!J$1,값!$2:$2,0),0)="",NA(),VLOOKUP($A4,값!$A:$W,MATCH(Main!J$1,값!$2:$2,0),0))</f>
        <v>-4.53E-2</v>
      </c>
      <c r="K4" s="12">
        <f>IF(VLOOKUP($A4,값!$A:$W,MATCH(Main!K$1,값!$2:$2,0),0)="",NA(),VLOOKUP($A4,값!$A:$W,MATCH(Main!K$1,값!$2:$2,0),0))</f>
        <v>8.5359624929111089E-3</v>
      </c>
      <c r="L4" s="12" t="e">
        <f>IF(VLOOKUP($A4,값!$A:$W,MATCH(Main!L$1,값!$2:$2,0),0)="",NA(),VLOOKUP($A4,값!$A:$W,MATCH(Main!L$1,값!$2:$2,0),0))</f>
        <v>#N/A</v>
      </c>
      <c r="M4" s="12">
        <f>IF(VLOOKUP($A4,값!$A:$W,MATCH(Main!M$1,값!$2:$2,0),0)="",NA(),VLOOKUP($A4,값!$A:$W,MATCH(Main!M$1,값!$2:$2,0),0))</f>
        <v>1.14E-2</v>
      </c>
      <c r="N4" s="12" t="e">
        <f>IF(VLOOKUP($A4,값!$A:$W,MATCH(Main!N$1,값!$2:$2,0),0)="",NA(),VLOOKUP($A4,값!$A:$W,MATCH(Main!N$1,값!$2:$2,0),0))</f>
        <v>#N/A</v>
      </c>
      <c r="O4" s="12" t="e">
        <f>IF(VLOOKUP($A4,값!$A:$W,MATCH(Main!O$1,값!$2:$2,0),0)="",NA(),VLOOKUP($A4,값!$A:$W,MATCH(Main!O$1,값!$2:$2,0),0))</f>
        <v>#N/A</v>
      </c>
      <c r="P4" s="12" t="e">
        <f>IF(VLOOKUP($A4,값!$A:$W,MATCH(Main!P$1,값!$2:$2,0),0)="",NA(),VLOOKUP($A4,값!$A:$W,MATCH(Main!P$1,값!$2:$2,0),0))</f>
        <v>#N/A</v>
      </c>
      <c r="Q4" s="12">
        <f>IF(VLOOKUP($A4,값!$A:$W,MATCH(Main!Q$1,값!$2:$2,0),0)="",NA(),VLOOKUP($A4,값!$A:$W,MATCH(Main!Q$1,값!$2:$2,0),0))</f>
        <v>7.4871338083927208E-2</v>
      </c>
      <c r="R4" s="12" t="e">
        <f>IF(VLOOKUP($A4,값!$A:$W,MATCH(Main!R$1,값!$2:$2,0),0)="",NA(),VLOOKUP($A4,값!$A:$W,MATCH(Main!R$1,값!$2:$2,0),0))</f>
        <v>#N/A</v>
      </c>
      <c r="S4" s="12" t="e">
        <f>IF(VLOOKUP($A4,값!$A:$W,MATCH(Main!S$1,값!$2:$2,0),0)="",NA(),VLOOKUP($A4,값!$A:$W,MATCH(Main!S$1,값!$2:$2,0),0))</f>
        <v>#N/A</v>
      </c>
      <c r="T4" s="12" t="e">
        <f>IF(VLOOKUP($A4,값!$A:$W,MATCH(Main!T$1,값!$2:$2,0),0)="",NA(),VLOOKUP($A4,값!$A:$W,MATCH(Main!T$1,값!$2:$2,0),0))</f>
        <v>#N/A</v>
      </c>
      <c r="U4" s="12" t="e">
        <f>IF(VLOOKUP($A4,값!$A:$W,MATCH(Main!U$1,값!$2:$2,0),0)="",NA(),VLOOKUP($A4,값!$A:$W,MATCH(Main!U$1,값!$2:$2,0),0))</f>
        <v>#N/A</v>
      </c>
      <c r="V4" s="12" t="e">
        <f>IF(VLOOKUP($A4,값!$A:$W,MATCH(Main!V$1,값!$2:$2,0),0)="",NA(),VLOOKUP($A4,값!$A:$W,MATCH(Main!V$1,값!$2:$2,0),0))</f>
        <v>#N/A</v>
      </c>
    </row>
    <row r="5" spans="1:22" x14ac:dyDescent="0.2">
      <c r="A5" s="1">
        <v>36891</v>
      </c>
      <c r="B5" s="12">
        <f>IF(VLOOKUP($A5,값!$A:$W,MATCH(Main!B$1,값!$2:$2,0),0)="",NA(),VLOOKUP($A5,값!$A:$W,MATCH(Main!B$1,값!$2:$2,0),0))</f>
        <v>-3.0599999999999999E-2</v>
      </c>
      <c r="C5" s="12">
        <f>IF(VLOOKUP($A5,값!$A:$W,MATCH(Main!C$1,값!$2:$2,0),0)="",NA(),VLOOKUP($A5,값!$A:$W,MATCH(Main!C$1,값!$2:$2,0),0))</f>
        <v>-0.1013</v>
      </c>
      <c r="D5" s="12">
        <f>IF(VLOOKUP($A5,값!$A:$W,MATCH(Main!D$1,값!$2:$2,0),0)="",NA(),VLOOKUP($A5,값!$A:$W,MATCH(Main!D$1,값!$2:$2,0),0))</f>
        <v>-0.1013</v>
      </c>
      <c r="E5" s="12" t="e">
        <f>IF(VLOOKUP($A5,값!$A:$W,MATCH(Main!E$1,값!$2:$2,0),0)="",NA(),VLOOKUP($A5,값!$A:$W,MATCH(Main!E$1,값!$2:$2,0),0))</f>
        <v>#N/A</v>
      </c>
      <c r="F5" s="12">
        <f>IF(VLOOKUP($A5,값!$A:$W,MATCH(Main!F$1,값!$2:$2,0),0)="",NA(),VLOOKUP($A5,값!$A:$W,MATCH(Main!F$1,값!$2:$2,0),0))</f>
        <v>-5.7500000000000002E-2</v>
      </c>
      <c r="G5" s="12" t="e">
        <f>IF(VLOOKUP($A5,값!$A:$W,MATCH(Main!G$1,값!$2:$2,0),0)="",NA(),VLOOKUP($A5,값!$A:$W,MATCH(Main!G$1,값!$2:$2,0),0))</f>
        <v>#N/A</v>
      </c>
      <c r="H5" s="12" t="e">
        <f>IF(VLOOKUP($A5,값!$A:$W,MATCH(Main!H$1,값!$2:$2,0),0)="",NA(),VLOOKUP($A5,값!$A:$W,MATCH(Main!H$1,값!$2:$2,0),0))</f>
        <v>#N/A</v>
      </c>
      <c r="I5" s="12">
        <f>IF(VLOOKUP($A5,값!$A:$W,MATCH(Main!I$1,값!$2:$2,0),0)="",NA(),VLOOKUP($A5,값!$A:$W,MATCH(Main!I$1,값!$2:$2,0),0))</f>
        <v>-1.83E-2</v>
      </c>
      <c r="J5" s="12">
        <f>IF(VLOOKUP($A5,값!$A:$W,MATCH(Main!J$1,값!$2:$2,0),0)="",NA(),VLOOKUP($A5,값!$A:$W,MATCH(Main!J$1,값!$2:$2,0),0))</f>
        <v>-7.2900000000000006E-2</v>
      </c>
      <c r="K5" s="12">
        <f>IF(VLOOKUP($A5,값!$A:$W,MATCH(Main!K$1,값!$2:$2,0),0)="",NA(),VLOOKUP($A5,값!$A:$W,MATCH(Main!K$1,값!$2:$2,0),0))</f>
        <v>5.6814788400101346E-3</v>
      </c>
      <c r="L5" s="12" t="e">
        <f>IF(VLOOKUP($A5,값!$A:$W,MATCH(Main!L$1,값!$2:$2,0),0)="",NA(),VLOOKUP($A5,값!$A:$W,MATCH(Main!L$1,값!$2:$2,0),0))</f>
        <v>#N/A</v>
      </c>
      <c r="M5" s="12">
        <f>IF(VLOOKUP($A5,값!$A:$W,MATCH(Main!M$1,값!$2:$2,0),0)="",NA(),VLOOKUP($A5,값!$A:$W,MATCH(Main!M$1,값!$2:$2,0),0))</f>
        <v>6.6600000000000006E-2</v>
      </c>
      <c r="N5" s="12" t="e">
        <f>IF(VLOOKUP($A5,값!$A:$W,MATCH(Main!N$1,값!$2:$2,0),0)="",NA(),VLOOKUP($A5,값!$A:$W,MATCH(Main!N$1,값!$2:$2,0),0))</f>
        <v>#N/A</v>
      </c>
      <c r="O5" s="12" t="e">
        <f>IF(VLOOKUP($A5,값!$A:$W,MATCH(Main!O$1,값!$2:$2,0),0)="",NA(),VLOOKUP($A5,값!$A:$W,MATCH(Main!O$1,값!$2:$2,0),0))</f>
        <v>#N/A</v>
      </c>
      <c r="P5" s="12" t="e">
        <f>IF(VLOOKUP($A5,값!$A:$W,MATCH(Main!P$1,값!$2:$2,0),0)="",NA(),VLOOKUP($A5,값!$A:$W,MATCH(Main!P$1,값!$2:$2,0),0))</f>
        <v>#N/A</v>
      </c>
      <c r="Q5" s="12">
        <f>IF(VLOOKUP($A5,값!$A:$W,MATCH(Main!Q$1,값!$2:$2,0),0)="",NA(),VLOOKUP($A5,값!$A:$W,MATCH(Main!Q$1,값!$2:$2,0),0))</f>
        <v>4.821140831453441E-2</v>
      </c>
      <c r="R5" s="12" t="e">
        <f>IF(VLOOKUP($A5,값!$A:$W,MATCH(Main!R$1,값!$2:$2,0),0)="",NA(),VLOOKUP($A5,값!$A:$W,MATCH(Main!R$1,값!$2:$2,0),0))</f>
        <v>#N/A</v>
      </c>
      <c r="S5" s="12" t="e">
        <f>IF(VLOOKUP($A5,값!$A:$W,MATCH(Main!S$1,값!$2:$2,0),0)="",NA(),VLOOKUP($A5,값!$A:$W,MATCH(Main!S$1,값!$2:$2,0),0))</f>
        <v>#N/A</v>
      </c>
      <c r="T5" s="12" t="e">
        <f>IF(VLOOKUP($A5,값!$A:$W,MATCH(Main!T$1,값!$2:$2,0),0)="",NA(),VLOOKUP($A5,값!$A:$W,MATCH(Main!T$1,값!$2:$2,0),0))</f>
        <v>#N/A</v>
      </c>
      <c r="U5" s="12" t="e">
        <f>IF(VLOOKUP($A5,값!$A:$W,MATCH(Main!U$1,값!$2:$2,0),0)="",NA(),VLOOKUP($A5,값!$A:$W,MATCH(Main!U$1,값!$2:$2,0),0))</f>
        <v>#N/A</v>
      </c>
      <c r="V5" s="12" t="e">
        <f>IF(VLOOKUP($A5,값!$A:$W,MATCH(Main!V$1,값!$2:$2,0),0)="",NA(),VLOOKUP($A5,값!$A:$W,MATCH(Main!V$1,값!$2:$2,0),0))</f>
        <v>#N/A</v>
      </c>
    </row>
    <row r="6" spans="1:22" x14ac:dyDescent="0.2">
      <c r="A6" s="1">
        <v>36981</v>
      </c>
      <c r="B6" s="12">
        <f>IF(VLOOKUP($A6,값!$A:$W,MATCH(Main!B$1,값!$2:$2,0),0)="",NA(),VLOOKUP($A6,값!$A:$W,MATCH(Main!B$1,값!$2:$2,0),0))</f>
        <v>-6.3500000000000001E-2</v>
      </c>
      <c r="C6" s="12">
        <f>IF(VLOOKUP($A6,값!$A:$W,MATCH(Main!C$1,값!$2:$2,0),0)="",NA(),VLOOKUP($A6,값!$A:$W,MATCH(Main!C$1,값!$2:$2,0),0))</f>
        <v>-8.9899999999999994E-2</v>
      </c>
      <c r="D6" s="12">
        <f>IF(VLOOKUP($A6,값!$A:$W,MATCH(Main!D$1,값!$2:$2,0),0)="",NA(),VLOOKUP($A6,값!$A:$W,MATCH(Main!D$1,값!$2:$2,0),0))</f>
        <v>-8.9899999999999994E-2</v>
      </c>
      <c r="E6" s="12" t="e">
        <f>IF(VLOOKUP($A6,값!$A:$W,MATCH(Main!E$1,값!$2:$2,0),0)="",NA(),VLOOKUP($A6,값!$A:$W,MATCH(Main!E$1,값!$2:$2,0),0))</f>
        <v>#N/A</v>
      </c>
      <c r="F6" s="12">
        <f>IF(VLOOKUP($A6,값!$A:$W,MATCH(Main!F$1,값!$2:$2,0),0)="",NA(),VLOOKUP($A6,값!$A:$W,MATCH(Main!F$1,값!$2:$2,0),0))</f>
        <v>-1.1900000000000001E-2</v>
      </c>
      <c r="G6" s="12" t="e">
        <f>IF(VLOOKUP($A6,값!$A:$W,MATCH(Main!G$1,값!$2:$2,0),0)="",NA(),VLOOKUP($A6,값!$A:$W,MATCH(Main!G$1,값!$2:$2,0),0))</f>
        <v>#N/A</v>
      </c>
      <c r="H6" s="12" t="e">
        <f>IF(VLOOKUP($A6,값!$A:$W,MATCH(Main!H$1,값!$2:$2,0),0)="",NA(),VLOOKUP($A6,값!$A:$W,MATCH(Main!H$1,값!$2:$2,0),0))</f>
        <v>#N/A</v>
      </c>
      <c r="I6" s="12">
        <f>IF(VLOOKUP($A6,값!$A:$W,MATCH(Main!I$1,값!$2:$2,0),0)="",NA(),VLOOKUP($A6,값!$A:$W,MATCH(Main!I$1,값!$2:$2,0),0))</f>
        <v>6.4699999999999994E-2</v>
      </c>
      <c r="J6" s="12">
        <f>IF(VLOOKUP($A6,값!$A:$W,MATCH(Main!J$1,값!$2:$2,0),0)="",NA(),VLOOKUP($A6,값!$A:$W,MATCH(Main!J$1,값!$2:$2,0),0))</f>
        <v>9.1000000000000004E-3</v>
      </c>
      <c r="K6" s="12">
        <f>IF(VLOOKUP($A6,값!$A:$W,MATCH(Main!K$1,값!$2:$2,0),0)="",NA(),VLOOKUP($A6,값!$A:$W,MATCH(Main!K$1,값!$2:$2,0),0))</f>
        <v>1.9250337740455148E-3</v>
      </c>
      <c r="L6" s="12" t="e">
        <f>IF(VLOOKUP($A6,값!$A:$W,MATCH(Main!L$1,값!$2:$2,0),0)="",NA(),VLOOKUP($A6,값!$A:$W,MATCH(Main!L$1,값!$2:$2,0),0))</f>
        <v>#N/A</v>
      </c>
      <c r="M6" s="12">
        <f>IF(VLOOKUP($A6,값!$A:$W,MATCH(Main!M$1,값!$2:$2,0),0)="",NA(),VLOOKUP($A6,값!$A:$W,MATCH(Main!M$1,값!$2:$2,0),0))</f>
        <v>3.1199999999999999E-2</v>
      </c>
      <c r="N6" s="12" t="e">
        <f>IF(VLOOKUP($A6,값!$A:$W,MATCH(Main!N$1,값!$2:$2,0),0)="",NA(),VLOOKUP($A6,값!$A:$W,MATCH(Main!N$1,값!$2:$2,0),0))</f>
        <v>#N/A</v>
      </c>
      <c r="O6" s="12" t="e">
        <f>IF(VLOOKUP($A6,값!$A:$W,MATCH(Main!O$1,값!$2:$2,0),0)="",NA(),VLOOKUP($A6,값!$A:$W,MATCH(Main!O$1,값!$2:$2,0),0))</f>
        <v>#N/A</v>
      </c>
      <c r="P6" s="12" t="e">
        <f>IF(VLOOKUP($A6,값!$A:$W,MATCH(Main!P$1,값!$2:$2,0),0)="",NA(),VLOOKUP($A6,값!$A:$W,MATCH(Main!P$1,값!$2:$2,0),0))</f>
        <v>#N/A</v>
      </c>
      <c r="Q6" s="12">
        <f>IF(VLOOKUP($A6,값!$A:$W,MATCH(Main!Q$1,값!$2:$2,0),0)="",NA(),VLOOKUP($A6,값!$A:$W,MATCH(Main!Q$1,값!$2:$2,0),0))</f>
        <v>-5.0465122407568508E-2</v>
      </c>
      <c r="R6" s="12" t="e">
        <f>IF(VLOOKUP($A6,값!$A:$W,MATCH(Main!R$1,값!$2:$2,0),0)="",NA(),VLOOKUP($A6,값!$A:$W,MATCH(Main!R$1,값!$2:$2,0),0))</f>
        <v>#N/A</v>
      </c>
      <c r="S6" s="12" t="e">
        <f>IF(VLOOKUP($A6,값!$A:$W,MATCH(Main!S$1,값!$2:$2,0),0)="",NA(),VLOOKUP($A6,값!$A:$W,MATCH(Main!S$1,값!$2:$2,0),0))</f>
        <v>#N/A</v>
      </c>
      <c r="T6" s="12" t="e">
        <f>IF(VLOOKUP($A6,값!$A:$W,MATCH(Main!T$1,값!$2:$2,0),0)="",NA(),VLOOKUP($A6,값!$A:$W,MATCH(Main!T$1,값!$2:$2,0),0))</f>
        <v>#N/A</v>
      </c>
      <c r="U6" s="12" t="e">
        <f>IF(VLOOKUP($A6,값!$A:$W,MATCH(Main!U$1,값!$2:$2,0),0)="",NA(),VLOOKUP($A6,값!$A:$W,MATCH(Main!U$1,값!$2:$2,0),0))</f>
        <v>#N/A</v>
      </c>
      <c r="V6" s="12" t="e">
        <f>IF(VLOOKUP($A6,값!$A:$W,MATCH(Main!V$1,값!$2:$2,0),0)="",NA(),VLOOKUP($A6,값!$A:$W,MATCH(Main!V$1,값!$2:$2,0),0))</f>
        <v>#N/A</v>
      </c>
    </row>
    <row r="7" spans="1:22" x14ac:dyDescent="0.2">
      <c r="A7" s="1">
        <v>37072</v>
      </c>
      <c r="B7" s="12">
        <f>IF(VLOOKUP($A7,값!$A:$W,MATCH(Main!B$1,값!$2:$2,0),0)="",NA(),VLOOKUP($A7,값!$A:$W,MATCH(Main!B$1,값!$2:$2,0),0))</f>
        <v>2.3800000000000002E-2</v>
      </c>
      <c r="C7" s="12">
        <f>IF(VLOOKUP($A7,값!$A:$W,MATCH(Main!C$1,값!$2:$2,0),0)="",NA(),VLOOKUP($A7,값!$A:$W,MATCH(Main!C$1,값!$2:$2,0),0))</f>
        <v>-7.46E-2</v>
      </c>
      <c r="D7" s="12">
        <f>IF(VLOOKUP($A7,값!$A:$W,MATCH(Main!D$1,값!$2:$2,0),0)="",NA(),VLOOKUP($A7,값!$A:$W,MATCH(Main!D$1,값!$2:$2,0),0))</f>
        <v>-7.46E-2</v>
      </c>
      <c r="E7" s="12" t="e">
        <f>IF(VLOOKUP($A7,값!$A:$W,MATCH(Main!E$1,값!$2:$2,0),0)="",NA(),VLOOKUP($A7,값!$A:$W,MATCH(Main!E$1,값!$2:$2,0),0))</f>
        <v>#N/A</v>
      </c>
      <c r="F7" s="12">
        <f>IF(VLOOKUP($A7,값!$A:$W,MATCH(Main!F$1,값!$2:$2,0),0)="",NA(),VLOOKUP($A7,값!$A:$W,MATCH(Main!F$1,값!$2:$2,0),0))</f>
        <v>-6.08E-2</v>
      </c>
      <c r="G7" s="12" t="e">
        <f>IF(VLOOKUP($A7,값!$A:$W,MATCH(Main!G$1,값!$2:$2,0),0)="",NA(),VLOOKUP($A7,값!$A:$W,MATCH(Main!G$1,값!$2:$2,0),0))</f>
        <v>#N/A</v>
      </c>
      <c r="H7" s="12" t="e">
        <f>IF(VLOOKUP($A7,값!$A:$W,MATCH(Main!H$1,값!$2:$2,0),0)="",NA(),VLOOKUP($A7,값!$A:$W,MATCH(Main!H$1,값!$2:$2,0),0))</f>
        <v>#N/A</v>
      </c>
      <c r="I7" s="12">
        <f>IF(VLOOKUP($A7,값!$A:$W,MATCH(Main!I$1,값!$2:$2,0),0)="",NA(),VLOOKUP($A7,값!$A:$W,MATCH(Main!I$1,값!$2:$2,0),0))</f>
        <v>2.9000000000000001E-2</v>
      </c>
      <c r="J7" s="12">
        <f>IF(VLOOKUP($A7,값!$A:$W,MATCH(Main!J$1,값!$2:$2,0),0)="",NA(),VLOOKUP($A7,값!$A:$W,MATCH(Main!J$1,값!$2:$2,0),0))</f>
        <v>-1.2999999999999999E-2</v>
      </c>
      <c r="K7" s="12">
        <f>IF(VLOOKUP($A7,값!$A:$W,MATCH(Main!K$1,값!$2:$2,0),0)="",NA(),VLOOKUP($A7,값!$A:$W,MATCH(Main!K$1,값!$2:$2,0),0))</f>
        <v>1.5350923561503027E-2</v>
      </c>
      <c r="L7" s="12" t="e">
        <f>IF(VLOOKUP($A7,값!$A:$W,MATCH(Main!L$1,값!$2:$2,0),0)="",NA(),VLOOKUP($A7,값!$A:$W,MATCH(Main!L$1,값!$2:$2,0),0))</f>
        <v>#N/A</v>
      </c>
      <c r="M7" s="12">
        <f>IF(VLOOKUP($A7,값!$A:$W,MATCH(Main!M$1,값!$2:$2,0),0)="",NA(),VLOOKUP($A7,값!$A:$W,MATCH(Main!M$1,값!$2:$2,0),0))</f>
        <v>6.9999999999999999E-4</v>
      </c>
      <c r="N7" s="12" t="e">
        <f>IF(VLOOKUP($A7,값!$A:$W,MATCH(Main!N$1,값!$2:$2,0),0)="",NA(),VLOOKUP($A7,값!$A:$W,MATCH(Main!N$1,값!$2:$2,0),0))</f>
        <v>#N/A</v>
      </c>
      <c r="O7" s="12" t="e">
        <f>IF(VLOOKUP($A7,값!$A:$W,MATCH(Main!O$1,값!$2:$2,0),0)="",NA(),VLOOKUP($A7,값!$A:$W,MATCH(Main!O$1,값!$2:$2,0),0))</f>
        <v>#N/A</v>
      </c>
      <c r="P7" s="12" t="e">
        <f>IF(VLOOKUP($A7,값!$A:$W,MATCH(Main!P$1,값!$2:$2,0),0)="",NA(),VLOOKUP($A7,값!$A:$W,MATCH(Main!P$1,값!$2:$2,0),0))</f>
        <v>#N/A</v>
      </c>
      <c r="Q7" s="12">
        <f>IF(VLOOKUP($A7,값!$A:$W,MATCH(Main!Q$1,값!$2:$2,0),0)="",NA(),VLOOKUP($A7,값!$A:$W,MATCH(Main!Q$1,값!$2:$2,0),0))</f>
        <v>6.0150236826524539E-2</v>
      </c>
      <c r="R7" s="12" t="e">
        <f>IF(VLOOKUP($A7,값!$A:$W,MATCH(Main!R$1,값!$2:$2,0),0)="",NA(),VLOOKUP($A7,값!$A:$W,MATCH(Main!R$1,값!$2:$2,0),0))</f>
        <v>#N/A</v>
      </c>
      <c r="S7" s="12" t="e">
        <f>IF(VLOOKUP($A7,값!$A:$W,MATCH(Main!S$1,값!$2:$2,0),0)="",NA(),VLOOKUP($A7,값!$A:$W,MATCH(Main!S$1,값!$2:$2,0),0))</f>
        <v>#N/A</v>
      </c>
      <c r="T7" s="12" t="e">
        <f>IF(VLOOKUP($A7,값!$A:$W,MATCH(Main!T$1,값!$2:$2,0),0)="",NA(),VLOOKUP($A7,값!$A:$W,MATCH(Main!T$1,값!$2:$2,0),0))</f>
        <v>#N/A</v>
      </c>
      <c r="U7" s="12" t="e">
        <f>IF(VLOOKUP($A7,값!$A:$W,MATCH(Main!U$1,값!$2:$2,0),0)="",NA(),VLOOKUP($A7,값!$A:$W,MATCH(Main!U$1,값!$2:$2,0),0))</f>
        <v>#N/A</v>
      </c>
      <c r="V7" s="12" t="e">
        <f>IF(VLOOKUP($A7,값!$A:$W,MATCH(Main!V$1,값!$2:$2,0),0)="",NA(),VLOOKUP($A7,값!$A:$W,MATCH(Main!V$1,값!$2:$2,0),0))</f>
        <v>#N/A</v>
      </c>
    </row>
    <row r="8" spans="1:22" x14ac:dyDescent="0.2">
      <c r="A8" s="1">
        <v>37164</v>
      </c>
      <c r="B8" s="12">
        <f>IF(VLOOKUP($A8,값!$A:$W,MATCH(Main!B$1,값!$2:$2,0),0)="",NA(),VLOOKUP($A8,값!$A:$W,MATCH(Main!B$1,값!$2:$2,0),0))</f>
        <v>-8.09E-2</v>
      </c>
      <c r="C8" s="12">
        <f>IF(VLOOKUP($A8,값!$A:$W,MATCH(Main!C$1,값!$2:$2,0),0)="",NA(),VLOOKUP($A8,값!$A:$W,MATCH(Main!C$1,값!$2:$2,0),0))</f>
        <v>-0.15049999999999999</v>
      </c>
      <c r="D8" s="12">
        <f>IF(VLOOKUP($A8,값!$A:$W,MATCH(Main!D$1,값!$2:$2,0),0)="",NA(),VLOOKUP($A8,값!$A:$W,MATCH(Main!D$1,값!$2:$2,0),0))</f>
        <v>-0.15049999999999999</v>
      </c>
      <c r="E8" s="12" t="e">
        <f>IF(VLOOKUP($A8,값!$A:$W,MATCH(Main!E$1,값!$2:$2,0),0)="",NA(),VLOOKUP($A8,값!$A:$W,MATCH(Main!E$1,값!$2:$2,0),0))</f>
        <v>#N/A</v>
      </c>
      <c r="F8" s="12">
        <f>IF(VLOOKUP($A8,값!$A:$W,MATCH(Main!F$1,값!$2:$2,0),0)="",NA(),VLOOKUP($A8,값!$A:$W,MATCH(Main!F$1,값!$2:$2,0),0))</f>
        <v>-5.45E-2</v>
      </c>
      <c r="G8" s="12" t="e">
        <f>IF(VLOOKUP($A8,값!$A:$W,MATCH(Main!G$1,값!$2:$2,0),0)="",NA(),VLOOKUP($A8,값!$A:$W,MATCH(Main!G$1,값!$2:$2,0),0))</f>
        <v>#N/A</v>
      </c>
      <c r="H8" s="12" t="e">
        <f>IF(VLOOKUP($A8,값!$A:$W,MATCH(Main!H$1,값!$2:$2,0),0)="",NA(),VLOOKUP($A8,값!$A:$W,MATCH(Main!H$1,값!$2:$2,0),0))</f>
        <v>#N/A</v>
      </c>
      <c r="I8" s="12">
        <f>IF(VLOOKUP($A8,값!$A:$W,MATCH(Main!I$1,값!$2:$2,0),0)="",NA(),VLOOKUP($A8,값!$A:$W,MATCH(Main!I$1,값!$2:$2,0),0))</f>
        <v>1.49E-2</v>
      </c>
      <c r="J8" s="12">
        <f>IF(VLOOKUP($A8,값!$A:$W,MATCH(Main!J$1,값!$2:$2,0),0)="",NA(),VLOOKUP($A8,값!$A:$W,MATCH(Main!J$1,값!$2:$2,0),0))</f>
        <v>-2.5399999999999999E-2</v>
      </c>
      <c r="K8" s="12">
        <f>IF(VLOOKUP($A8,값!$A:$W,MATCH(Main!K$1,값!$2:$2,0),0)="",NA(),VLOOKUP($A8,값!$A:$W,MATCH(Main!K$1,값!$2:$2,0),0))</f>
        <v>-9.2173449949828345E-4</v>
      </c>
      <c r="L8" s="12" t="e">
        <f>IF(VLOOKUP($A8,값!$A:$W,MATCH(Main!L$1,값!$2:$2,0),0)="",NA(),VLOOKUP($A8,값!$A:$W,MATCH(Main!L$1,값!$2:$2,0),0))</f>
        <v>#N/A</v>
      </c>
      <c r="M8" s="12">
        <f>IF(VLOOKUP($A8,값!$A:$W,MATCH(Main!M$1,값!$2:$2,0),0)="",NA(),VLOOKUP($A8,값!$A:$W,MATCH(Main!M$1,값!$2:$2,0),0))</f>
        <v>-6.1999999999999998E-3</v>
      </c>
      <c r="N8" s="12" t="e">
        <f>IF(VLOOKUP($A8,값!$A:$W,MATCH(Main!N$1,값!$2:$2,0),0)="",NA(),VLOOKUP($A8,값!$A:$W,MATCH(Main!N$1,값!$2:$2,0),0))</f>
        <v>#N/A</v>
      </c>
      <c r="O8" s="12" t="e">
        <f>IF(VLOOKUP($A8,값!$A:$W,MATCH(Main!O$1,값!$2:$2,0),0)="",NA(),VLOOKUP($A8,값!$A:$W,MATCH(Main!O$1,값!$2:$2,0),0))</f>
        <v>#N/A</v>
      </c>
      <c r="P8" s="12" t="e">
        <f>IF(VLOOKUP($A8,값!$A:$W,MATCH(Main!P$1,값!$2:$2,0),0)="",NA(),VLOOKUP($A8,값!$A:$W,MATCH(Main!P$1,값!$2:$2,0),0))</f>
        <v>#N/A</v>
      </c>
      <c r="Q8" s="12">
        <f>IF(VLOOKUP($A8,값!$A:$W,MATCH(Main!Q$1,값!$2:$2,0),0)="",NA(),VLOOKUP($A8,값!$A:$W,MATCH(Main!Q$1,값!$2:$2,0),0))</f>
        <v>-9.8300144854186033E-2</v>
      </c>
      <c r="R8" s="12" t="e">
        <f>IF(VLOOKUP($A8,값!$A:$W,MATCH(Main!R$1,값!$2:$2,0),0)="",NA(),VLOOKUP($A8,값!$A:$W,MATCH(Main!R$1,값!$2:$2,0),0))</f>
        <v>#N/A</v>
      </c>
      <c r="S8" s="12" t="e">
        <f>IF(VLOOKUP($A8,값!$A:$W,MATCH(Main!S$1,값!$2:$2,0),0)="",NA(),VLOOKUP($A8,값!$A:$W,MATCH(Main!S$1,값!$2:$2,0),0))</f>
        <v>#N/A</v>
      </c>
      <c r="T8" s="12" t="e">
        <f>IF(VLOOKUP($A8,값!$A:$W,MATCH(Main!T$1,값!$2:$2,0),0)="",NA(),VLOOKUP($A8,값!$A:$W,MATCH(Main!T$1,값!$2:$2,0),0))</f>
        <v>#N/A</v>
      </c>
      <c r="U8" s="12" t="e">
        <f>IF(VLOOKUP($A8,값!$A:$W,MATCH(Main!U$1,값!$2:$2,0),0)="",NA(),VLOOKUP($A8,값!$A:$W,MATCH(Main!U$1,값!$2:$2,0),0))</f>
        <v>#N/A</v>
      </c>
      <c r="V8" s="12" t="e">
        <f>IF(VLOOKUP($A8,값!$A:$W,MATCH(Main!V$1,값!$2:$2,0),0)="",NA(),VLOOKUP($A8,값!$A:$W,MATCH(Main!V$1,값!$2:$2,0),0))</f>
        <v>#N/A</v>
      </c>
    </row>
    <row r="9" spans="1:22" x14ac:dyDescent="0.2">
      <c r="A9" s="1">
        <v>37256</v>
      </c>
      <c r="B9" s="12">
        <f>IF(VLOOKUP($A9,값!$A:$W,MATCH(Main!B$1,값!$2:$2,0),0)="",NA(),VLOOKUP($A9,값!$A:$W,MATCH(Main!B$1,값!$2:$2,0),0))</f>
        <v>-1.1000000000000001E-3</v>
      </c>
      <c r="C9" s="12">
        <f>IF(VLOOKUP($A9,값!$A:$W,MATCH(Main!C$1,값!$2:$2,0),0)="",NA(),VLOOKUP($A9,값!$A:$W,MATCH(Main!C$1,값!$2:$2,0),0))</f>
        <v>-7.7899999999999997E-2</v>
      </c>
      <c r="D9" s="12">
        <f>IF(VLOOKUP($A9,값!$A:$W,MATCH(Main!D$1,값!$2:$2,0),0)="",NA(),VLOOKUP($A9,값!$A:$W,MATCH(Main!D$1,값!$2:$2,0),0))</f>
        <v>-7.7899999999999997E-2</v>
      </c>
      <c r="E9" s="12" t="e">
        <f>IF(VLOOKUP($A9,값!$A:$W,MATCH(Main!E$1,값!$2:$2,0),0)="",NA(),VLOOKUP($A9,값!$A:$W,MATCH(Main!E$1,값!$2:$2,0),0))</f>
        <v>#N/A</v>
      </c>
      <c r="F9" s="12">
        <f>IF(VLOOKUP($A9,값!$A:$W,MATCH(Main!F$1,값!$2:$2,0),0)="",NA(),VLOOKUP($A9,값!$A:$W,MATCH(Main!F$1,값!$2:$2,0),0))</f>
        <v>-8.1199999999999994E-2</v>
      </c>
      <c r="G9" s="12" t="e">
        <f>IF(VLOOKUP($A9,값!$A:$W,MATCH(Main!G$1,값!$2:$2,0),0)="",NA(),VLOOKUP($A9,값!$A:$W,MATCH(Main!G$1,값!$2:$2,0),0))</f>
        <v>#N/A</v>
      </c>
      <c r="H9" s="12" t="e">
        <f>IF(VLOOKUP($A9,값!$A:$W,MATCH(Main!H$1,값!$2:$2,0),0)="",NA(),VLOOKUP($A9,값!$A:$W,MATCH(Main!H$1,값!$2:$2,0),0))</f>
        <v>#N/A</v>
      </c>
      <c r="I9" s="12">
        <f>IF(VLOOKUP($A9,값!$A:$W,MATCH(Main!I$1,값!$2:$2,0),0)="",NA(),VLOOKUP($A9,값!$A:$W,MATCH(Main!I$1,값!$2:$2,0),0))</f>
        <v>2.1000000000000001E-2</v>
      </c>
      <c r="J9" s="12">
        <f>IF(VLOOKUP($A9,값!$A:$W,MATCH(Main!J$1,값!$2:$2,0),0)="",NA(),VLOOKUP($A9,값!$A:$W,MATCH(Main!J$1,값!$2:$2,0),0))</f>
        <v>-6.3700000000000007E-2</v>
      </c>
      <c r="K9" s="12">
        <f>IF(VLOOKUP($A9,값!$A:$W,MATCH(Main!K$1,값!$2:$2,0),0)="",NA(),VLOOKUP($A9,값!$A:$W,MATCH(Main!K$1,값!$2:$2,0),0))</f>
        <v>1.4464422393526855E-2</v>
      </c>
      <c r="L9" s="12" t="e">
        <f>IF(VLOOKUP($A9,값!$A:$W,MATCH(Main!L$1,값!$2:$2,0),0)="",NA(),VLOOKUP($A9,값!$A:$W,MATCH(Main!L$1,값!$2:$2,0),0))</f>
        <v>#N/A</v>
      </c>
      <c r="M9" s="12">
        <f>IF(VLOOKUP($A9,값!$A:$W,MATCH(Main!M$1,값!$2:$2,0),0)="",NA(),VLOOKUP($A9,값!$A:$W,MATCH(Main!M$1,값!$2:$2,0),0))</f>
        <v>3.6700000000000003E-2</v>
      </c>
      <c r="N9" s="12" t="e">
        <f>IF(VLOOKUP($A9,값!$A:$W,MATCH(Main!N$1,값!$2:$2,0),0)="",NA(),VLOOKUP($A9,값!$A:$W,MATCH(Main!N$1,값!$2:$2,0),0))</f>
        <v>#N/A</v>
      </c>
      <c r="O9" s="12" t="e">
        <f>IF(VLOOKUP($A9,값!$A:$W,MATCH(Main!O$1,값!$2:$2,0),0)="",NA(),VLOOKUP($A9,값!$A:$W,MATCH(Main!O$1,값!$2:$2,0),0))</f>
        <v>#N/A</v>
      </c>
      <c r="P9" s="12" t="e">
        <f>IF(VLOOKUP($A9,값!$A:$W,MATCH(Main!P$1,값!$2:$2,0),0)="",NA(),VLOOKUP($A9,값!$A:$W,MATCH(Main!P$1,값!$2:$2,0),0))</f>
        <v>#N/A</v>
      </c>
      <c r="Q9" s="12">
        <f>IF(VLOOKUP($A9,값!$A:$W,MATCH(Main!Q$1,값!$2:$2,0),0)="",NA(),VLOOKUP($A9,값!$A:$W,MATCH(Main!Q$1,값!$2:$2,0),0))</f>
        <v>5.9738902383556169E-2</v>
      </c>
      <c r="R9" s="12" t="e">
        <f>IF(VLOOKUP($A9,값!$A:$W,MATCH(Main!R$1,값!$2:$2,0),0)="",NA(),VLOOKUP($A9,값!$A:$W,MATCH(Main!R$1,값!$2:$2,0),0))</f>
        <v>#N/A</v>
      </c>
      <c r="S9" s="12" t="e">
        <f>IF(VLOOKUP($A9,값!$A:$W,MATCH(Main!S$1,값!$2:$2,0),0)="",NA(),VLOOKUP($A9,값!$A:$W,MATCH(Main!S$1,값!$2:$2,0),0))</f>
        <v>#N/A</v>
      </c>
      <c r="T9" s="12" t="e">
        <f>IF(VLOOKUP($A9,값!$A:$W,MATCH(Main!T$1,값!$2:$2,0),0)="",NA(),VLOOKUP($A9,값!$A:$W,MATCH(Main!T$1,값!$2:$2,0),0))</f>
        <v>#N/A</v>
      </c>
      <c r="U9" s="12" t="e">
        <f>IF(VLOOKUP($A9,값!$A:$W,MATCH(Main!U$1,값!$2:$2,0),0)="",NA(),VLOOKUP($A9,값!$A:$W,MATCH(Main!U$1,값!$2:$2,0),0))</f>
        <v>#N/A</v>
      </c>
      <c r="V9" s="12" t="e">
        <f>IF(VLOOKUP($A9,값!$A:$W,MATCH(Main!V$1,값!$2:$2,0),0)="",NA(),VLOOKUP($A9,값!$A:$W,MATCH(Main!V$1,값!$2:$2,0),0))</f>
        <v>#N/A</v>
      </c>
    </row>
    <row r="10" spans="1:22" x14ac:dyDescent="0.2">
      <c r="A10" s="1">
        <v>37346</v>
      </c>
      <c r="B10" s="12">
        <f>IF(VLOOKUP($A10,값!$A:$W,MATCH(Main!B$1,값!$2:$2,0),0)="",NA(),VLOOKUP($A10,값!$A:$W,MATCH(Main!B$1,값!$2:$2,0),0))</f>
        <v>-2.3E-3</v>
      </c>
      <c r="C10" s="12">
        <f>IF(VLOOKUP($A10,값!$A:$W,MATCH(Main!C$1,값!$2:$2,0),0)="",NA(),VLOOKUP($A10,값!$A:$W,MATCH(Main!C$1,값!$2:$2,0),0))</f>
        <v>-9.4799999999999995E-2</v>
      </c>
      <c r="D10" s="12">
        <f>IF(VLOOKUP($A10,값!$A:$W,MATCH(Main!D$1,값!$2:$2,0),0)="",NA(),VLOOKUP($A10,값!$A:$W,MATCH(Main!D$1,값!$2:$2,0),0))</f>
        <v>-9.4799999999999995E-2</v>
      </c>
      <c r="E10" s="12">
        <f>IF(VLOOKUP($A10,값!$A:$W,MATCH(Main!E$1,값!$2:$2,0),0)="",NA(),VLOOKUP($A10,값!$A:$W,MATCH(Main!E$1,값!$2:$2,0),0))</f>
        <v>3.27E-2</v>
      </c>
      <c r="F10" s="12">
        <f>IF(VLOOKUP($A10,값!$A:$W,MATCH(Main!F$1,값!$2:$2,0),0)="",NA(),VLOOKUP($A10,값!$A:$W,MATCH(Main!F$1,값!$2:$2,0),0))</f>
        <v>-2.5000000000000001E-2</v>
      </c>
      <c r="G10" s="12">
        <f>IF(VLOOKUP($A10,값!$A:$W,MATCH(Main!G$1,값!$2:$2,0),0)="",NA(),VLOOKUP($A10,값!$A:$W,MATCH(Main!G$1,값!$2:$2,0),0))</f>
        <v>3.27E-2</v>
      </c>
      <c r="H10" s="12" t="e">
        <f>IF(VLOOKUP($A10,값!$A:$W,MATCH(Main!H$1,값!$2:$2,0),0)="",NA(),VLOOKUP($A10,값!$A:$W,MATCH(Main!H$1,값!$2:$2,0),0))</f>
        <v>#N/A</v>
      </c>
      <c r="I10" s="12">
        <f>IF(VLOOKUP($A10,값!$A:$W,MATCH(Main!I$1,값!$2:$2,0),0)="",NA(),VLOOKUP($A10,값!$A:$W,MATCH(Main!I$1,값!$2:$2,0),0))</f>
        <v>3.7699999999999997E-2</v>
      </c>
      <c r="J10" s="12">
        <f>IF(VLOOKUP($A10,값!$A:$W,MATCH(Main!J$1,값!$2:$2,0),0)="",NA(),VLOOKUP($A10,값!$A:$W,MATCH(Main!J$1,값!$2:$2,0),0))</f>
        <v>1.41E-2</v>
      </c>
      <c r="K10" s="12">
        <f>IF(VLOOKUP($A10,값!$A:$W,MATCH(Main!K$1,값!$2:$2,0),0)="",NA(),VLOOKUP($A10,값!$A:$W,MATCH(Main!K$1,값!$2:$2,0),0))</f>
        <v>1.3385806349913043E-2</v>
      </c>
      <c r="L10" s="12" t="e">
        <f>IF(VLOOKUP($A10,값!$A:$W,MATCH(Main!L$1,값!$2:$2,0),0)="",NA(),VLOOKUP($A10,값!$A:$W,MATCH(Main!L$1,값!$2:$2,0),0))</f>
        <v>#N/A</v>
      </c>
      <c r="M10" s="12">
        <f>IF(VLOOKUP($A10,값!$A:$W,MATCH(Main!M$1,값!$2:$2,0),0)="",NA(),VLOOKUP($A10,값!$A:$W,MATCH(Main!M$1,값!$2:$2,0),0))</f>
        <v>1.43E-2</v>
      </c>
      <c r="N10" s="12" t="e">
        <f>IF(VLOOKUP($A10,값!$A:$W,MATCH(Main!N$1,값!$2:$2,0),0)="",NA(),VLOOKUP($A10,값!$A:$W,MATCH(Main!N$1,값!$2:$2,0),0))</f>
        <v>#N/A</v>
      </c>
      <c r="O10" s="12" t="e">
        <f>IF(VLOOKUP($A10,값!$A:$W,MATCH(Main!O$1,값!$2:$2,0),0)="",NA(),VLOOKUP($A10,값!$A:$W,MATCH(Main!O$1,값!$2:$2,0),0))</f>
        <v>#N/A</v>
      </c>
      <c r="P10" s="12" t="e">
        <f>IF(VLOOKUP($A10,값!$A:$W,MATCH(Main!P$1,값!$2:$2,0),0)="",NA(),VLOOKUP($A10,값!$A:$W,MATCH(Main!P$1,값!$2:$2,0),0))</f>
        <v>#N/A</v>
      </c>
      <c r="Q10" s="12">
        <f>IF(VLOOKUP($A10,값!$A:$W,MATCH(Main!Q$1,값!$2:$2,0),0)="",NA(),VLOOKUP($A10,값!$A:$W,MATCH(Main!Q$1,값!$2:$2,0),0))</f>
        <v>5.3759611345497227E-2</v>
      </c>
      <c r="R10" s="12" t="e">
        <f>IF(VLOOKUP($A10,값!$A:$W,MATCH(Main!R$1,값!$2:$2,0),0)="",NA(),VLOOKUP($A10,값!$A:$W,MATCH(Main!R$1,값!$2:$2,0),0))</f>
        <v>#N/A</v>
      </c>
      <c r="S10" s="12" t="e">
        <f>IF(VLOOKUP($A10,값!$A:$W,MATCH(Main!S$1,값!$2:$2,0),0)="",NA(),VLOOKUP($A10,값!$A:$W,MATCH(Main!S$1,값!$2:$2,0),0))</f>
        <v>#N/A</v>
      </c>
      <c r="T10" s="12" t="e">
        <f>IF(VLOOKUP($A10,값!$A:$W,MATCH(Main!T$1,값!$2:$2,0),0)="",NA(),VLOOKUP($A10,값!$A:$W,MATCH(Main!T$1,값!$2:$2,0),0))</f>
        <v>#N/A</v>
      </c>
      <c r="U10" s="12" t="e">
        <f>IF(VLOOKUP($A10,값!$A:$W,MATCH(Main!U$1,값!$2:$2,0),0)="",NA(),VLOOKUP($A10,값!$A:$W,MATCH(Main!U$1,값!$2:$2,0),0))</f>
        <v>#N/A</v>
      </c>
      <c r="V10" s="12" t="e">
        <f>IF(VLOOKUP($A10,값!$A:$W,MATCH(Main!V$1,값!$2:$2,0),0)="",NA(),VLOOKUP($A10,값!$A:$W,MATCH(Main!V$1,값!$2:$2,0),0))</f>
        <v>#N/A</v>
      </c>
    </row>
    <row r="11" spans="1:22" x14ac:dyDescent="0.2">
      <c r="A11" s="1">
        <v>37437</v>
      </c>
      <c r="B11" s="12">
        <f>IF(VLOOKUP($A11,값!$A:$W,MATCH(Main!B$1,값!$2:$2,0),0)="",NA(),VLOOKUP($A11,값!$A:$W,MATCH(Main!B$1,값!$2:$2,0),0))</f>
        <v>-1.35E-2</v>
      </c>
      <c r="C11" s="12">
        <f>IF(VLOOKUP($A11,값!$A:$W,MATCH(Main!C$1,값!$2:$2,0),0)="",NA(),VLOOKUP($A11,값!$A:$W,MATCH(Main!C$1,값!$2:$2,0),0))</f>
        <v>-0.1303</v>
      </c>
      <c r="D11" s="12">
        <f>IF(VLOOKUP($A11,값!$A:$W,MATCH(Main!D$1,값!$2:$2,0),0)="",NA(),VLOOKUP($A11,값!$A:$W,MATCH(Main!D$1,값!$2:$2,0),0))</f>
        <v>-0.1303</v>
      </c>
      <c r="E11" s="12">
        <f>IF(VLOOKUP($A11,값!$A:$W,MATCH(Main!E$1,값!$2:$2,0),0)="",NA(),VLOOKUP($A11,값!$A:$W,MATCH(Main!E$1,값!$2:$2,0),0))</f>
        <v>1.7399999999999999E-2</v>
      </c>
      <c r="F11" s="12">
        <f>IF(VLOOKUP($A11,값!$A:$W,MATCH(Main!F$1,값!$2:$2,0),0)="",NA(),VLOOKUP($A11,값!$A:$W,MATCH(Main!F$1,값!$2:$2,0),0))</f>
        <v>-7.1099999999999997E-2</v>
      </c>
      <c r="G11" s="12">
        <f>IF(VLOOKUP($A11,값!$A:$W,MATCH(Main!G$1,값!$2:$2,0),0)="",NA(),VLOOKUP($A11,값!$A:$W,MATCH(Main!G$1,값!$2:$2,0),0))</f>
        <v>1.7399999999999999E-2</v>
      </c>
      <c r="H11" s="12" t="e">
        <f>IF(VLOOKUP($A11,값!$A:$W,MATCH(Main!H$1,값!$2:$2,0),0)="",NA(),VLOOKUP($A11,값!$A:$W,MATCH(Main!H$1,값!$2:$2,0),0))</f>
        <v>#N/A</v>
      </c>
      <c r="I11" s="12">
        <f>IF(VLOOKUP($A11,값!$A:$W,MATCH(Main!I$1,값!$2:$2,0),0)="",NA(),VLOOKUP($A11,값!$A:$W,MATCH(Main!I$1,값!$2:$2,0),0))</f>
        <v>-1E-3</v>
      </c>
      <c r="J11" s="12">
        <f>IF(VLOOKUP($A11,값!$A:$W,MATCH(Main!J$1,값!$2:$2,0),0)="",NA(),VLOOKUP($A11,값!$A:$W,MATCH(Main!J$1,값!$2:$2,0),0))</f>
        <v>-5.0500000000000003E-2</v>
      </c>
      <c r="K11" s="12">
        <f>IF(VLOOKUP($A11,값!$A:$W,MATCH(Main!K$1,값!$2:$2,0),0)="",NA(),VLOOKUP($A11,값!$A:$W,MATCH(Main!K$1,값!$2:$2,0),0))</f>
        <v>6.5079411506625551E-3</v>
      </c>
      <c r="L11" s="12" t="e">
        <f>IF(VLOOKUP($A11,값!$A:$W,MATCH(Main!L$1,값!$2:$2,0),0)="",NA(),VLOOKUP($A11,값!$A:$W,MATCH(Main!L$1,값!$2:$2,0),0))</f>
        <v>#N/A</v>
      </c>
      <c r="M11" s="12">
        <f>IF(VLOOKUP($A11,값!$A:$W,MATCH(Main!M$1,값!$2:$2,0),0)="",NA(),VLOOKUP($A11,값!$A:$W,MATCH(Main!M$1,값!$2:$2,0),0))</f>
        <v>-4.3E-3</v>
      </c>
      <c r="N11" s="12" t="e">
        <f>IF(VLOOKUP($A11,값!$A:$W,MATCH(Main!N$1,값!$2:$2,0),0)="",NA(),VLOOKUP($A11,값!$A:$W,MATCH(Main!N$1,값!$2:$2,0),0))</f>
        <v>#N/A</v>
      </c>
      <c r="O11" s="12" t="e">
        <f>IF(VLOOKUP($A11,값!$A:$W,MATCH(Main!O$1,값!$2:$2,0),0)="",NA(),VLOOKUP($A11,값!$A:$W,MATCH(Main!O$1,값!$2:$2,0),0))</f>
        <v>#N/A</v>
      </c>
      <c r="P11" s="12" t="e">
        <f>IF(VLOOKUP($A11,값!$A:$W,MATCH(Main!P$1,값!$2:$2,0),0)="",NA(),VLOOKUP($A11,값!$A:$W,MATCH(Main!P$1,값!$2:$2,0),0))</f>
        <v>#N/A</v>
      </c>
      <c r="Q11" s="12">
        <f>IF(VLOOKUP($A11,값!$A:$W,MATCH(Main!Q$1,값!$2:$2,0),0)="",NA(),VLOOKUP($A11,값!$A:$W,MATCH(Main!Q$1,값!$2:$2,0),0))</f>
        <v>5.4388047801859685E-2</v>
      </c>
      <c r="R11" s="12" t="e">
        <f>IF(VLOOKUP($A11,값!$A:$W,MATCH(Main!R$1,값!$2:$2,0),0)="",NA(),VLOOKUP($A11,값!$A:$W,MATCH(Main!R$1,값!$2:$2,0),0))</f>
        <v>#N/A</v>
      </c>
      <c r="S11" s="12" t="e">
        <f>IF(VLOOKUP($A11,값!$A:$W,MATCH(Main!S$1,값!$2:$2,0),0)="",NA(),VLOOKUP($A11,값!$A:$W,MATCH(Main!S$1,값!$2:$2,0),0))</f>
        <v>#N/A</v>
      </c>
      <c r="T11" s="12" t="e">
        <f>IF(VLOOKUP($A11,값!$A:$W,MATCH(Main!T$1,값!$2:$2,0),0)="",NA(),VLOOKUP($A11,값!$A:$W,MATCH(Main!T$1,값!$2:$2,0),0))</f>
        <v>#N/A</v>
      </c>
      <c r="U11" s="12" t="e">
        <f>IF(VLOOKUP($A11,값!$A:$W,MATCH(Main!U$1,값!$2:$2,0),0)="",NA(),VLOOKUP($A11,값!$A:$W,MATCH(Main!U$1,값!$2:$2,0),0))</f>
        <v>#N/A</v>
      </c>
      <c r="V11" s="12" t="e">
        <f>IF(VLOOKUP($A11,값!$A:$W,MATCH(Main!V$1,값!$2:$2,0),0)="",NA(),VLOOKUP($A11,값!$A:$W,MATCH(Main!V$1,값!$2:$2,0),0))</f>
        <v>#N/A</v>
      </c>
    </row>
    <row r="12" spans="1:22" x14ac:dyDescent="0.2">
      <c r="A12" s="1">
        <v>37529</v>
      </c>
      <c r="B12" s="12">
        <f>IF(VLOOKUP($A12,값!$A:$W,MATCH(Main!B$1,값!$2:$2,0),0)="",NA(),VLOOKUP($A12,값!$A:$W,MATCH(Main!B$1,값!$2:$2,0),0))</f>
        <v>-3.9800000000000002E-2</v>
      </c>
      <c r="C12" s="12">
        <f>IF(VLOOKUP($A12,값!$A:$W,MATCH(Main!C$1,값!$2:$2,0),0)="",NA(),VLOOKUP($A12,값!$A:$W,MATCH(Main!C$1,값!$2:$2,0),0))</f>
        <v>-9.9099999999999994E-2</v>
      </c>
      <c r="D12" s="12">
        <f>IF(VLOOKUP($A12,값!$A:$W,MATCH(Main!D$1,값!$2:$2,0),0)="",NA(),VLOOKUP($A12,값!$A:$W,MATCH(Main!D$1,값!$2:$2,0),0))</f>
        <v>-9.9099999999999994E-2</v>
      </c>
      <c r="E12" s="12">
        <f>IF(VLOOKUP($A12,값!$A:$W,MATCH(Main!E$1,값!$2:$2,0),0)="",NA(),VLOOKUP($A12,값!$A:$W,MATCH(Main!E$1,값!$2:$2,0),0))</f>
        <v>-3.3399999999999999E-2</v>
      </c>
      <c r="F12" s="12">
        <f>IF(VLOOKUP($A12,값!$A:$W,MATCH(Main!F$1,값!$2:$2,0),0)="",NA(),VLOOKUP($A12,값!$A:$W,MATCH(Main!F$1,값!$2:$2,0),0))</f>
        <v>-5.9299999999999999E-2</v>
      </c>
      <c r="G12" s="12">
        <f>IF(VLOOKUP($A12,값!$A:$W,MATCH(Main!G$1,값!$2:$2,0),0)="",NA(),VLOOKUP($A12,값!$A:$W,MATCH(Main!G$1,값!$2:$2,0),0))</f>
        <v>-3.3399999999999999E-2</v>
      </c>
      <c r="H12" s="12" t="e">
        <f>IF(VLOOKUP($A12,값!$A:$W,MATCH(Main!H$1,값!$2:$2,0),0)="",NA(),VLOOKUP($A12,값!$A:$W,MATCH(Main!H$1,값!$2:$2,0),0))</f>
        <v>#N/A</v>
      </c>
      <c r="I12" s="12">
        <f>IF(VLOOKUP($A12,값!$A:$W,MATCH(Main!I$1,값!$2:$2,0),0)="",NA(),VLOOKUP($A12,값!$A:$W,MATCH(Main!I$1,값!$2:$2,0),0))</f>
        <v>-5.1900000000000002E-2</v>
      </c>
      <c r="J12" s="12">
        <f>IF(VLOOKUP($A12,값!$A:$W,MATCH(Main!J$1,값!$2:$2,0),0)="",NA(),VLOOKUP($A12,값!$A:$W,MATCH(Main!J$1,값!$2:$2,0),0))</f>
        <v>-9.2600000000000002E-2</v>
      </c>
      <c r="K12" s="12">
        <f>IF(VLOOKUP($A12,값!$A:$W,MATCH(Main!K$1,값!$2:$2,0),0)="",NA(),VLOOKUP($A12,값!$A:$W,MATCH(Main!K$1,값!$2:$2,0),0))</f>
        <v>-6.2142280659346349E-3</v>
      </c>
      <c r="L12" s="12" t="e">
        <f>IF(VLOOKUP($A12,값!$A:$W,MATCH(Main!L$1,값!$2:$2,0),0)="",NA(),VLOOKUP($A12,값!$A:$W,MATCH(Main!L$1,값!$2:$2,0),0))</f>
        <v>#N/A</v>
      </c>
      <c r="M12" s="12">
        <f>IF(VLOOKUP($A12,값!$A:$W,MATCH(Main!M$1,값!$2:$2,0),0)="",NA(),VLOOKUP($A12,값!$A:$W,MATCH(Main!M$1,값!$2:$2,0),0))</f>
        <v>3.8999999999999998E-3</v>
      </c>
      <c r="N12" s="12" t="e">
        <f>IF(VLOOKUP($A12,값!$A:$W,MATCH(Main!N$1,값!$2:$2,0),0)="",NA(),VLOOKUP($A12,값!$A:$W,MATCH(Main!N$1,값!$2:$2,0),0))</f>
        <v>#N/A</v>
      </c>
      <c r="O12" s="12" t="e">
        <f>IF(VLOOKUP($A12,값!$A:$W,MATCH(Main!O$1,값!$2:$2,0),0)="",NA(),VLOOKUP($A12,값!$A:$W,MATCH(Main!O$1,값!$2:$2,0),0))</f>
        <v>#N/A</v>
      </c>
      <c r="P12" s="12" t="e">
        <f>IF(VLOOKUP($A12,값!$A:$W,MATCH(Main!P$1,값!$2:$2,0),0)="",NA(),VLOOKUP($A12,값!$A:$W,MATCH(Main!P$1,값!$2:$2,0),0))</f>
        <v>#N/A</v>
      </c>
      <c r="Q12" s="12">
        <f>IF(VLOOKUP($A12,값!$A:$W,MATCH(Main!Q$1,값!$2:$2,0),0)="",NA(),VLOOKUP($A12,값!$A:$W,MATCH(Main!Q$1,값!$2:$2,0),0))</f>
        <v>-0.10073231472273125</v>
      </c>
      <c r="R12" s="12" t="e">
        <f>IF(VLOOKUP($A12,값!$A:$W,MATCH(Main!R$1,값!$2:$2,0),0)="",NA(),VLOOKUP($A12,값!$A:$W,MATCH(Main!R$1,값!$2:$2,0),0))</f>
        <v>#N/A</v>
      </c>
      <c r="S12" s="12" t="e">
        <f>IF(VLOOKUP($A12,값!$A:$W,MATCH(Main!S$1,값!$2:$2,0),0)="",NA(),VLOOKUP($A12,값!$A:$W,MATCH(Main!S$1,값!$2:$2,0),0))</f>
        <v>#N/A</v>
      </c>
      <c r="T12" s="12" t="e">
        <f>IF(VLOOKUP($A12,값!$A:$W,MATCH(Main!T$1,값!$2:$2,0),0)="",NA(),VLOOKUP($A12,값!$A:$W,MATCH(Main!T$1,값!$2:$2,0),0))</f>
        <v>#N/A</v>
      </c>
      <c r="U12" s="12" t="e">
        <f>IF(VLOOKUP($A12,값!$A:$W,MATCH(Main!U$1,값!$2:$2,0),0)="",NA(),VLOOKUP($A12,값!$A:$W,MATCH(Main!U$1,값!$2:$2,0),0))</f>
        <v>#N/A</v>
      </c>
      <c r="V12" s="12" t="e">
        <f>IF(VLOOKUP($A12,값!$A:$W,MATCH(Main!V$1,값!$2:$2,0),0)="",NA(),VLOOKUP($A12,값!$A:$W,MATCH(Main!V$1,값!$2:$2,0),0))</f>
        <v>#N/A</v>
      </c>
    </row>
    <row r="13" spans="1:22" x14ac:dyDescent="0.2">
      <c r="A13" s="1">
        <v>37621</v>
      </c>
      <c r="B13" s="12">
        <f>IF(VLOOKUP($A13,값!$A:$W,MATCH(Main!B$1,값!$2:$2,0),0)="",NA(),VLOOKUP($A13,값!$A:$W,MATCH(Main!B$1,값!$2:$2,0),0))</f>
        <v>2.0799999999999999E-2</v>
      </c>
      <c r="C13" s="12">
        <f>IF(VLOOKUP($A13,값!$A:$W,MATCH(Main!C$1,값!$2:$2,0),0)="",NA(),VLOOKUP($A13,값!$A:$W,MATCH(Main!C$1,값!$2:$2,0),0))</f>
        <v>-0.1076</v>
      </c>
      <c r="D13" s="12">
        <f>IF(VLOOKUP($A13,값!$A:$W,MATCH(Main!D$1,값!$2:$2,0),0)="",NA(),VLOOKUP($A13,값!$A:$W,MATCH(Main!D$1,값!$2:$2,0),0))</f>
        <v>-0.1076</v>
      </c>
      <c r="E13" s="12">
        <f>IF(VLOOKUP($A13,값!$A:$W,MATCH(Main!E$1,값!$2:$2,0),0)="",NA(),VLOOKUP($A13,값!$A:$W,MATCH(Main!E$1,값!$2:$2,0),0))</f>
        <v>-3.3599999999999998E-2</v>
      </c>
      <c r="F13" s="12">
        <f>IF(VLOOKUP($A13,값!$A:$W,MATCH(Main!F$1,값!$2:$2,0),0)="",NA(),VLOOKUP($A13,값!$A:$W,MATCH(Main!F$1,값!$2:$2,0),0))</f>
        <v>-7.6300000000000007E-2</v>
      </c>
      <c r="G13" s="12">
        <f>IF(VLOOKUP($A13,값!$A:$W,MATCH(Main!G$1,값!$2:$2,0),0)="",NA(),VLOOKUP($A13,값!$A:$W,MATCH(Main!G$1,값!$2:$2,0),0))</f>
        <v>-3.3599999999999998E-2</v>
      </c>
      <c r="H13" s="12" t="e">
        <f>IF(VLOOKUP($A13,값!$A:$W,MATCH(Main!H$1,값!$2:$2,0),0)="",NA(),VLOOKUP($A13,값!$A:$W,MATCH(Main!H$1,값!$2:$2,0),0))</f>
        <v>#N/A</v>
      </c>
      <c r="I13" s="12">
        <f>IF(VLOOKUP($A13,값!$A:$W,MATCH(Main!I$1,값!$2:$2,0),0)="",NA(),VLOOKUP($A13,값!$A:$W,MATCH(Main!I$1,값!$2:$2,0),0))</f>
        <v>7.4099999999999999E-2</v>
      </c>
      <c r="J13" s="12">
        <f>IF(VLOOKUP($A13,값!$A:$W,MATCH(Main!J$1,값!$2:$2,0),0)="",NA(),VLOOKUP($A13,값!$A:$W,MATCH(Main!J$1,값!$2:$2,0),0))</f>
        <v>6.7000000000000002E-3</v>
      </c>
      <c r="K13" s="12">
        <f>IF(VLOOKUP($A13,값!$A:$W,MATCH(Main!K$1,값!$2:$2,0),0)="",NA(),VLOOKUP($A13,값!$A:$W,MATCH(Main!K$1,값!$2:$2,0),0))</f>
        <v>2.1797079412001263E-2</v>
      </c>
      <c r="L13" s="12" t="e">
        <f>IF(VLOOKUP($A13,값!$A:$W,MATCH(Main!L$1,값!$2:$2,0),0)="",NA(),VLOOKUP($A13,값!$A:$W,MATCH(Main!L$1,값!$2:$2,0),0))</f>
        <v>#N/A</v>
      </c>
      <c r="M13" s="12">
        <f>IF(VLOOKUP($A13,값!$A:$W,MATCH(Main!M$1,값!$2:$2,0),0)="",NA(),VLOOKUP($A13,값!$A:$W,MATCH(Main!M$1,값!$2:$2,0),0))</f>
        <v>-7.7000000000000002E-3</v>
      </c>
      <c r="N13" s="12" t="e">
        <f>IF(VLOOKUP($A13,값!$A:$W,MATCH(Main!N$1,값!$2:$2,0),0)="",NA(),VLOOKUP($A13,값!$A:$W,MATCH(Main!N$1,값!$2:$2,0),0))</f>
        <v>#N/A</v>
      </c>
      <c r="O13" s="12" t="e">
        <f>IF(VLOOKUP($A13,값!$A:$W,MATCH(Main!O$1,값!$2:$2,0),0)="",NA(),VLOOKUP($A13,값!$A:$W,MATCH(Main!O$1,값!$2:$2,0),0))</f>
        <v>#N/A</v>
      </c>
      <c r="P13" s="12" t="e">
        <f>IF(VLOOKUP($A13,값!$A:$W,MATCH(Main!P$1,값!$2:$2,0),0)="",NA(),VLOOKUP($A13,값!$A:$W,MATCH(Main!P$1,값!$2:$2,0),0))</f>
        <v>#N/A</v>
      </c>
      <c r="Q13" s="12">
        <f>IF(VLOOKUP($A13,값!$A:$W,MATCH(Main!Q$1,값!$2:$2,0),0)="",NA(),VLOOKUP($A13,값!$A:$W,MATCH(Main!Q$1,값!$2:$2,0),0))</f>
        <v>2.9036768939705526E-2</v>
      </c>
      <c r="R13" s="12" t="e">
        <f>IF(VLOOKUP($A13,값!$A:$W,MATCH(Main!R$1,값!$2:$2,0),0)="",NA(),VLOOKUP($A13,값!$A:$W,MATCH(Main!R$1,값!$2:$2,0),0))</f>
        <v>#N/A</v>
      </c>
      <c r="S13" s="12" t="e">
        <f>IF(VLOOKUP($A13,값!$A:$W,MATCH(Main!S$1,값!$2:$2,0),0)="",NA(),VLOOKUP($A13,값!$A:$W,MATCH(Main!S$1,값!$2:$2,0),0))</f>
        <v>#N/A</v>
      </c>
      <c r="T13" s="12" t="e">
        <f>IF(VLOOKUP($A13,값!$A:$W,MATCH(Main!T$1,값!$2:$2,0),0)="",NA(),VLOOKUP($A13,값!$A:$W,MATCH(Main!T$1,값!$2:$2,0),0))</f>
        <v>#N/A</v>
      </c>
      <c r="U13" s="12" t="e">
        <f>IF(VLOOKUP($A13,값!$A:$W,MATCH(Main!U$1,값!$2:$2,0),0)="",NA(),VLOOKUP($A13,값!$A:$W,MATCH(Main!U$1,값!$2:$2,0),0))</f>
        <v>#N/A</v>
      </c>
      <c r="V13" s="12" t="e">
        <f>IF(VLOOKUP($A13,값!$A:$W,MATCH(Main!V$1,값!$2:$2,0),0)="",NA(),VLOOKUP($A13,값!$A:$W,MATCH(Main!V$1,값!$2:$2,0),0))</f>
        <v>#N/A</v>
      </c>
    </row>
    <row r="14" spans="1:22" x14ac:dyDescent="0.2">
      <c r="A14" s="1">
        <v>37711</v>
      </c>
      <c r="B14" s="12">
        <f>IF(VLOOKUP($A14,값!$A:$W,MATCH(Main!B$1,값!$2:$2,0),0)="",NA(),VLOOKUP($A14,값!$A:$W,MATCH(Main!B$1,값!$2:$2,0),0))</f>
        <v>4.1999999999999997E-3</v>
      </c>
      <c r="C14" s="12">
        <f>IF(VLOOKUP($A14,값!$A:$W,MATCH(Main!C$1,값!$2:$2,0),0)="",NA(),VLOOKUP($A14,값!$A:$W,MATCH(Main!C$1,값!$2:$2,0),0))</f>
        <v>-4.6800000000000001E-2</v>
      </c>
      <c r="D14" s="12">
        <f>IF(VLOOKUP($A14,값!$A:$W,MATCH(Main!D$1,값!$2:$2,0),0)="",NA(),VLOOKUP($A14,값!$A:$W,MATCH(Main!D$1,값!$2:$2,0),0))</f>
        <v>-4.6800000000000001E-2</v>
      </c>
      <c r="E14" s="12">
        <f>IF(VLOOKUP($A14,값!$A:$W,MATCH(Main!E$1,값!$2:$2,0),0)="",NA(),VLOOKUP($A14,값!$A:$W,MATCH(Main!E$1,값!$2:$2,0),0))</f>
        <v>-7.1999999999999998E-3</v>
      </c>
      <c r="F14" s="12">
        <f>IF(VLOOKUP($A14,값!$A:$W,MATCH(Main!F$1,값!$2:$2,0),0)="",NA(),VLOOKUP($A14,값!$A:$W,MATCH(Main!F$1,값!$2:$2,0),0))</f>
        <v>-3.15E-2</v>
      </c>
      <c r="G14" s="12">
        <f>IF(VLOOKUP($A14,값!$A:$W,MATCH(Main!G$1,값!$2:$2,0),0)="",NA(),VLOOKUP($A14,값!$A:$W,MATCH(Main!G$1,값!$2:$2,0),0))</f>
        <v>-7.1999999999999998E-3</v>
      </c>
      <c r="H14" s="12" t="e">
        <f>IF(VLOOKUP($A14,값!$A:$W,MATCH(Main!H$1,값!$2:$2,0),0)="",NA(),VLOOKUP($A14,값!$A:$W,MATCH(Main!H$1,값!$2:$2,0),0))</f>
        <v>#N/A</v>
      </c>
      <c r="I14" s="12">
        <f>IF(VLOOKUP($A14,값!$A:$W,MATCH(Main!I$1,값!$2:$2,0),0)="",NA(),VLOOKUP($A14,값!$A:$W,MATCH(Main!I$1,값!$2:$2,0),0))</f>
        <v>1.5100000000000001E-2</v>
      </c>
      <c r="J14" s="12">
        <f>IF(VLOOKUP($A14,값!$A:$W,MATCH(Main!J$1,값!$2:$2,0),0)="",NA(),VLOOKUP($A14,값!$A:$W,MATCH(Main!J$1,값!$2:$2,0),0))</f>
        <v>-4.4299999999999999E-2</v>
      </c>
      <c r="K14" s="12">
        <f>IF(VLOOKUP($A14,값!$A:$W,MATCH(Main!K$1,값!$2:$2,0),0)="",NA(),VLOOKUP($A14,값!$A:$W,MATCH(Main!K$1,값!$2:$2,0),0))</f>
        <v>2.1230963352726562E-2</v>
      </c>
      <c r="L14" s="12" t="e">
        <f>IF(VLOOKUP($A14,값!$A:$W,MATCH(Main!L$1,값!$2:$2,0),0)="",NA(),VLOOKUP($A14,값!$A:$W,MATCH(Main!L$1,값!$2:$2,0),0))</f>
        <v>#N/A</v>
      </c>
      <c r="M14" s="12">
        <f>IF(VLOOKUP($A14,값!$A:$W,MATCH(Main!M$1,값!$2:$2,0),0)="",NA(),VLOOKUP($A14,값!$A:$W,MATCH(Main!M$1,값!$2:$2,0),0))</f>
        <v>1.7399999999999999E-2</v>
      </c>
      <c r="N14" s="12" t="e">
        <f>IF(VLOOKUP($A14,값!$A:$W,MATCH(Main!N$1,값!$2:$2,0),0)="",NA(),VLOOKUP($A14,값!$A:$W,MATCH(Main!N$1,값!$2:$2,0),0))</f>
        <v>#N/A</v>
      </c>
      <c r="O14" s="12" t="e">
        <f>IF(VLOOKUP($A14,값!$A:$W,MATCH(Main!O$1,값!$2:$2,0),0)="",NA(),VLOOKUP($A14,값!$A:$W,MATCH(Main!O$1,값!$2:$2,0),0))</f>
        <v>#N/A</v>
      </c>
      <c r="P14" s="12" t="e">
        <f>IF(VLOOKUP($A14,값!$A:$W,MATCH(Main!P$1,값!$2:$2,0),0)="",NA(),VLOOKUP($A14,값!$A:$W,MATCH(Main!P$1,값!$2:$2,0),0))</f>
        <v>#N/A</v>
      </c>
      <c r="Q14" s="12">
        <f>IF(VLOOKUP($A14,값!$A:$W,MATCH(Main!Q$1,값!$2:$2,0),0)="",NA(),VLOOKUP($A14,값!$A:$W,MATCH(Main!Q$1,값!$2:$2,0),0))</f>
        <v>-1.7310595967670261E-2</v>
      </c>
      <c r="R14" s="12" t="e">
        <f>IF(VLOOKUP($A14,값!$A:$W,MATCH(Main!R$1,값!$2:$2,0),0)="",NA(),VLOOKUP($A14,값!$A:$W,MATCH(Main!R$1,값!$2:$2,0),0))</f>
        <v>#N/A</v>
      </c>
      <c r="S14" s="12" t="e">
        <f>IF(VLOOKUP($A14,값!$A:$W,MATCH(Main!S$1,값!$2:$2,0),0)="",NA(),VLOOKUP($A14,값!$A:$W,MATCH(Main!S$1,값!$2:$2,0),0))</f>
        <v>#N/A</v>
      </c>
      <c r="T14" s="12" t="e">
        <f>IF(VLOOKUP($A14,값!$A:$W,MATCH(Main!T$1,값!$2:$2,0),0)="",NA(),VLOOKUP($A14,값!$A:$W,MATCH(Main!T$1,값!$2:$2,0),0))</f>
        <v>#N/A</v>
      </c>
      <c r="U14" s="12" t="e">
        <f>IF(VLOOKUP($A14,값!$A:$W,MATCH(Main!U$1,값!$2:$2,0),0)="",NA(),VLOOKUP($A14,값!$A:$W,MATCH(Main!U$1,값!$2:$2,0),0))</f>
        <v>#N/A</v>
      </c>
      <c r="V14" s="12" t="e">
        <f>IF(VLOOKUP($A14,값!$A:$W,MATCH(Main!V$1,값!$2:$2,0),0)="",NA(),VLOOKUP($A14,값!$A:$W,MATCH(Main!V$1,값!$2:$2,0),0))</f>
        <v>#N/A</v>
      </c>
    </row>
    <row r="15" spans="1:22" x14ac:dyDescent="0.2">
      <c r="A15" s="1">
        <v>37802</v>
      </c>
      <c r="B15" s="12">
        <f>IF(VLOOKUP($A15,값!$A:$W,MATCH(Main!B$1,값!$2:$2,0),0)="",NA(),VLOOKUP($A15,값!$A:$W,MATCH(Main!B$1,값!$2:$2,0),0))</f>
        <v>7.22E-2</v>
      </c>
      <c r="C15" s="12">
        <f>IF(VLOOKUP($A15,값!$A:$W,MATCH(Main!C$1,값!$2:$2,0),0)="",NA(),VLOOKUP($A15,값!$A:$W,MATCH(Main!C$1,값!$2:$2,0),0))</f>
        <v>-1.03E-2</v>
      </c>
      <c r="D15" s="12">
        <f>IF(VLOOKUP($A15,값!$A:$W,MATCH(Main!D$1,값!$2:$2,0),0)="",NA(),VLOOKUP($A15,값!$A:$W,MATCH(Main!D$1,값!$2:$2,0),0))</f>
        <v>-1.03E-2</v>
      </c>
      <c r="E15" s="12">
        <f>IF(VLOOKUP($A15,값!$A:$W,MATCH(Main!E$1,값!$2:$2,0),0)="",NA(),VLOOKUP($A15,값!$A:$W,MATCH(Main!E$1,값!$2:$2,0),0))</f>
        <v>2.2200000000000001E-2</v>
      </c>
      <c r="F15" s="12">
        <f>IF(VLOOKUP($A15,값!$A:$W,MATCH(Main!F$1,값!$2:$2,0),0)="",NA(),VLOOKUP($A15,값!$A:$W,MATCH(Main!F$1,값!$2:$2,0),0))</f>
        <v>2.01E-2</v>
      </c>
      <c r="G15" s="12">
        <f>IF(VLOOKUP($A15,값!$A:$W,MATCH(Main!G$1,값!$2:$2,0),0)="",NA(),VLOOKUP($A15,값!$A:$W,MATCH(Main!G$1,값!$2:$2,0),0))</f>
        <v>2.2200000000000001E-2</v>
      </c>
      <c r="H15" s="12" t="e">
        <f>IF(VLOOKUP($A15,값!$A:$W,MATCH(Main!H$1,값!$2:$2,0),0)="",NA(),VLOOKUP($A15,값!$A:$W,MATCH(Main!H$1,값!$2:$2,0),0))</f>
        <v>#N/A</v>
      </c>
      <c r="I15" s="12">
        <f>IF(VLOOKUP($A15,값!$A:$W,MATCH(Main!I$1,값!$2:$2,0),0)="",NA(),VLOOKUP($A15,값!$A:$W,MATCH(Main!I$1,값!$2:$2,0),0))</f>
        <v>0.1353</v>
      </c>
      <c r="J15" s="12">
        <f>IF(VLOOKUP($A15,값!$A:$W,MATCH(Main!J$1,값!$2:$2,0),0)="",NA(),VLOOKUP($A15,값!$A:$W,MATCH(Main!J$1,값!$2:$2,0),0))</f>
        <v>6.2300000000000001E-2</v>
      </c>
      <c r="K15" s="12">
        <f>IF(VLOOKUP($A15,값!$A:$W,MATCH(Main!K$1,값!$2:$2,0),0)="",NA(),VLOOKUP($A15,값!$A:$W,MATCH(Main!K$1,값!$2:$2,0),0))</f>
        <v>2.8255805622118935E-2</v>
      </c>
      <c r="L15" s="12" t="e">
        <f>IF(VLOOKUP($A15,값!$A:$W,MATCH(Main!L$1,값!$2:$2,0),0)="",NA(),VLOOKUP($A15,값!$A:$W,MATCH(Main!L$1,값!$2:$2,0),0))</f>
        <v>#N/A</v>
      </c>
      <c r="M15" s="12">
        <f>IF(VLOOKUP($A15,값!$A:$W,MATCH(Main!M$1,값!$2:$2,0),0)="",NA(),VLOOKUP($A15,값!$A:$W,MATCH(Main!M$1,값!$2:$2,0),0))</f>
        <v>1.34E-2</v>
      </c>
      <c r="N15" s="12" t="e">
        <f>IF(VLOOKUP($A15,값!$A:$W,MATCH(Main!N$1,값!$2:$2,0),0)="",NA(),VLOOKUP($A15,값!$A:$W,MATCH(Main!N$1,값!$2:$2,0),0))</f>
        <v>#N/A</v>
      </c>
      <c r="O15" s="12" t="e">
        <f>IF(VLOOKUP($A15,값!$A:$W,MATCH(Main!O$1,값!$2:$2,0),0)="",NA(),VLOOKUP($A15,값!$A:$W,MATCH(Main!O$1,값!$2:$2,0),0))</f>
        <v>#N/A</v>
      </c>
      <c r="P15" s="12" t="e">
        <f>IF(VLOOKUP($A15,값!$A:$W,MATCH(Main!P$1,값!$2:$2,0),0)="",NA(),VLOOKUP($A15,값!$A:$W,MATCH(Main!P$1,값!$2:$2,0),0))</f>
        <v>#N/A</v>
      </c>
      <c r="Q15" s="12">
        <f>IF(VLOOKUP($A15,값!$A:$W,MATCH(Main!Q$1,값!$2:$2,0),0)="",NA(),VLOOKUP($A15,값!$A:$W,MATCH(Main!Q$1,값!$2:$2,0),0))</f>
        <v>0.14436782024746697</v>
      </c>
      <c r="R15" s="12" t="e">
        <f>IF(VLOOKUP($A15,값!$A:$W,MATCH(Main!R$1,값!$2:$2,0),0)="",NA(),VLOOKUP($A15,값!$A:$W,MATCH(Main!R$1,값!$2:$2,0),0))</f>
        <v>#N/A</v>
      </c>
      <c r="S15" s="12" t="e">
        <f>IF(VLOOKUP($A15,값!$A:$W,MATCH(Main!S$1,값!$2:$2,0),0)="",NA(),VLOOKUP($A15,값!$A:$W,MATCH(Main!S$1,값!$2:$2,0),0))</f>
        <v>#N/A</v>
      </c>
      <c r="T15" s="12" t="e">
        <f>IF(VLOOKUP($A15,값!$A:$W,MATCH(Main!T$1,값!$2:$2,0),0)="",NA(),VLOOKUP($A15,값!$A:$W,MATCH(Main!T$1,값!$2:$2,0),0))</f>
        <v>#N/A</v>
      </c>
      <c r="U15" s="12" t="e">
        <f>IF(VLOOKUP($A15,값!$A:$W,MATCH(Main!U$1,값!$2:$2,0),0)="",NA(),VLOOKUP($A15,값!$A:$W,MATCH(Main!U$1,값!$2:$2,0),0))</f>
        <v>#N/A</v>
      </c>
      <c r="V15" s="12" t="e">
        <f>IF(VLOOKUP($A15,값!$A:$W,MATCH(Main!V$1,값!$2:$2,0),0)="",NA(),VLOOKUP($A15,값!$A:$W,MATCH(Main!V$1,값!$2:$2,0),0))</f>
        <v>#N/A</v>
      </c>
    </row>
    <row r="16" spans="1:22" x14ac:dyDescent="0.2">
      <c r="A16" s="1">
        <v>37894</v>
      </c>
      <c r="B16" s="12">
        <f>IF(VLOOKUP($A16,값!$A:$W,MATCH(Main!B$1,값!$2:$2,0),0)="",NA(),VLOOKUP($A16,값!$A:$W,MATCH(Main!B$1,값!$2:$2,0),0))</f>
        <v>4.3400000000000001E-2</v>
      </c>
      <c r="C16" s="12">
        <f>IF(VLOOKUP($A16,값!$A:$W,MATCH(Main!C$1,값!$2:$2,0),0)="",NA(),VLOOKUP($A16,값!$A:$W,MATCH(Main!C$1,값!$2:$2,0),0))</f>
        <v>-3.0499999999999999E-2</v>
      </c>
      <c r="D16" s="12">
        <f>IF(VLOOKUP($A16,값!$A:$W,MATCH(Main!D$1,값!$2:$2,0),0)="",NA(),VLOOKUP($A16,값!$A:$W,MATCH(Main!D$1,값!$2:$2,0),0))</f>
        <v>-3.0499999999999999E-2</v>
      </c>
      <c r="E16" s="12">
        <f>IF(VLOOKUP($A16,값!$A:$W,MATCH(Main!E$1,값!$2:$2,0),0)="",NA(),VLOOKUP($A16,값!$A:$W,MATCH(Main!E$1,값!$2:$2,0),0))</f>
        <v>3.9800000000000002E-2</v>
      </c>
      <c r="F16" s="12">
        <f>IF(VLOOKUP($A16,값!$A:$W,MATCH(Main!F$1,값!$2:$2,0),0)="",NA(),VLOOKUP($A16,값!$A:$W,MATCH(Main!F$1,값!$2:$2,0),0))</f>
        <v>2.7000000000000001E-3</v>
      </c>
      <c r="G16" s="12">
        <f>IF(VLOOKUP($A16,값!$A:$W,MATCH(Main!G$1,값!$2:$2,0),0)="",NA(),VLOOKUP($A16,값!$A:$W,MATCH(Main!G$1,값!$2:$2,0),0))</f>
        <v>3.9800000000000002E-2</v>
      </c>
      <c r="H16" s="12" t="e">
        <f>IF(VLOOKUP($A16,값!$A:$W,MATCH(Main!H$1,값!$2:$2,0),0)="",NA(),VLOOKUP($A16,값!$A:$W,MATCH(Main!H$1,값!$2:$2,0),0))</f>
        <v>#N/A</v>
      </c>
      <c r="I16" s="12">
        <f>IF(VLOOKUP($A16,값!$A:$W,MATCH(Main!I$1,값!$2:$2,0),0)="",NA(),VLOOKUP($A16,값!$A:$W,MATCH(Main!I$1,값!$2:$2,0),0))</f>
        <v>5.8799999999999998E-2</v>
      </c>
      <c r="J16" s="12">
        <f>IF(VLOOKUP($A16,값!$A:$W,MATCH(Main!J$1,값!$2:$2,0),0)="",NA(),VLOOKUP($A16,값!$A:$W,MATCH(Main!J$1,값!$2:$2,0),0))</f>
        <v>0.10349999999999999</v>
      </c>
      <c r="K16" s="12">
        <f>IF(VLOOKUP($A16,값!$A:$W,MATCH(Main!K$1,값!$2:$2,0),0)="",NA(),VLOOKUP($A16,값!$A:$W,MATCH(Main!K$1,값!$2:$2,0),0))</f>
        <v>1.1475977437019225E-2</v>
      </c>
      <c r="L16" s="12" t="e">
        <f>IF(VLOOKUP($A16,값!$A:$W,MATCH(Main!L$1,값!$2:$2,0),0)="",NA(),VLOOKUP($A16,값!$A:$W,MATCH(Main!L$1,값!$2:$2,0),0))</f>
        <v>#N/A</v>
      </c>
      <c r="M16" s="12">
        <f>IF(VLOOKUP($A16,값!$A:$W,MATCH(Main!M$1,값!$2:$2,0),0)="",NA(),VLOOKUP($A16,값!$A:$W,MATCH(Main!M$1,값!$2:$2,0),0))</f>
        <v>1.6500000000000001E-2</v>
      </c>
      <c r="N16" s="12" t="e">
        <f>IF(VLOOKUP($A16,값!$A:$W,MATCH(Main!N$1,값!$2:$2,0),0)="",NA(),VLOOKUP($A16,값!$A:$W,MATCH(Main!N$1,값!$2:$2,0),0))</f>
        <v>#N/A</v>
      </c>
      <c r="O16" s="12" t="e">
        <f>IF(VLOOKUP($A16,값!$A:$W,MATCH(Main!O$1,값!$2:$2,0),0)="",NA(),VLOOKUP($A16,값!$A:$W,MATCH(Main!O$1,값!$2:$2,0),0))</f>
        <v>#N/A</v>
      </c>
      <c r="P16" s="12" t="e">
        <f>IF(VLOOKUP($A16,값!$A:$W,MATCH(Main!P$1,값!$2:$2,0),0)="",NA(),VLOOKUP($A16,값!$A:$W,MATCH(Main!P$1,값!$2:$2,0),0))</f>
        <v>#N/A</v>
      </c>
      <c r="Q16" s="12">
        <f>IF(VLOOKUP($A16,값!$A:$W,MATCH(Main!Q$1,값!$2:$2,0),0)="",NA(),VLOOKUP($A16,값!$A:$W,MATCH(Main!Q$1,값!$2:$2,0),0))</f>
        <v>0.11854139352678206</v>
      </c>
      <c r="R16" s="12" t="e">
        <f>IF(VLOOKUP($A16,값!$A:$W,MATCH(Main!R$1,값!$2:$2,0),0)="",NA(),VLOOKUP($A16,값!$A:$W,MATCH(Main!R$1,값!$2:$2,0),0))</f>
        <v>#N/A</v>
      </c>
      <c r="S16" s="12" t="e">
        <f>IF(VLOOKUP($A16,값!$A:$W,MATCH(Main!S$1,값!$2:$2,0),0)="",NA(),VLOOKUP($A16,값!$A:$W,MATCH(Main!S$1,값!$2:$2,0),0))</f>
        <v>#N/A</v>
      </c>
      <c r="T16" s="12" t="e">
        <f>IF(VLOOKUP($A16,값!$A:$W,MATCH(Main!T$1,값!$2:$2,0),0)="",NA(),VLOOKUP($A16,값!$A:$W,MATCH(Main!T$1,값!$2:$2,0),0))</f>
        <v>#N/A</v>
      </c>
      <c r="U16" s="12" t="e">
        <f>IF(VLOOKUP($A16,값!$A:$W,MATCH(Main!U$1,값!$2:$2,0),0)="",NA(),VLOOKUP($A16,값!$A:$W,MATCH(Main!U$1,값!$2:$2,0),0))</f>
        <v>#N/A</v>
      </c>
      <c r="V16" s="12" t="e">
        <f>IF(VLOOKUP($A16,값!$A:$W,MATCH(Main!V$1,값!$2:$2,0),0)="",NA(),VLOOKUP($A16,값!$A:$W,MATCH(Main!V$1,값!$2:$2,0),0))</f>
        <v>#N/A</v>
      </c>
    </row>
    <row r="17" spans="1:22" x14ac:dyDescent="0.2">
      <c r="A17" s="1">
        <v>37986</v>
      </c>
      <c r="B17" s="12">
        <f>IF(VLOOKUP($A17,값!$A:$W,MATCH(Main!B$1,값!$2:$2,0),0)="",NA(),VLOOKUP($A17,값!$A:$W,MATCH(Main!B$1,값!$2:$2,0),0))</f>
        <v>0.126</v>
      </c>
      <c r="C17" s="12">
        <f>IF(VLOOKUP($A17,값!$A:$W,MATCH(Main!C$1,값!$2:$2,0),0)="",NA(),VLOOKUP($A17,값!$A:$W,MATCH(Main!C$1,값!$2:$2,0),0))</f>
        <v>1.67E-2</v>
      </c>
      <c r="D17" s="12">
        <f>IF(VLOOKUP($A17,값!$A:$W,MATCH(Main!D$1,값!$2:$2,0),0)="",NA(),VLOOKUP($A17,값!$A:$W,MATCH(Main!D$1,값!$2:$2,0),0))</f>
        <v>1.67E-2</v>
      </c>
      <c r="E17" s="12">
        <f>IF(VLOOKUP($A17,값!$A:$W,MATCH(Main!E$1,값!$2:$2,0),0)="",NA(),VLOOKUP($A17,값!$A:$W,MATCH(Main!E$1,값!$2:$2,0),0))</f>
        <v>0.1883</v>
      </c>
      <c r="F17" s="12">
        <f>IF(VLOOKUP($A17,값!$A:$W,MATCH(Main!F$1,값!$2:$2,0),0)="",NA(),VLOOKUP($A17,값!$A:$W,MATCH(Main!F$1,값!$2:$2,0),0))</f>
        <v>8.2600000000000007E-2</v>
      </c>
      <c r="G17" s="12">
        <f>IF(VLOOKUP($A17,값!$A:$W,MATCH(Main!G$1,값!$2:$2,0),0)="",NA(),VLOOKUP($A17,값!$A:$W,MATCH(Main!G$1,값!$2:$2,0),0))</f>
        <v>0.1883</v>
      </c>
      <c r="H17" s="12" t="e">
        <f>IF(VLOOKUP($A17,값!$A:$W,MATCH(Main!H$1,값!$2:$2,0),0)="",NA(),VLOOKUP($A17,값!$A:$W,MATCH(Main!H$1,값!$2:$2,0),0))</f>
        <v>#N/A</v>
      </c>
      <c r="I17" s="12">
        <f>IF(VLOOKUP($A17,값!$A:$W,MATCH(Main!I$1,값!$2:$2,0),0)="",NA(),VLOOKUP($A17,값!$A:$W,MATCH(Main!I$1,값!$2:$2,0),0))</f>
        <v>7.5499999999999998E-2</v>
      </c>
      <c r="J17" s="12">
        <f>IF(VLOOKUP($A17,값!$A:$W,MATCH(Main!J$1,값!$2:$2,0),0)="",NA(),VLOOKUP($A17,값!$A:$W,MATCH(Main!J$1,값!$2:$2,0),0))</f>
        <v>0.15210000000000001</v>
      </c>
      <c r="K17" s="12">
        <f>IF(VLOOKUP($A17,값!$A:$W,MATCH(Main!K$1,값!$2:$2,0),0)="",NA(),VLOOKUP($A17,값!$A:$W,MATCH(Main!K$1,값!$2:$2,0),0))</f>
        <v>2.6332629325469092E-2</v>
      </c>
      <c r="L17" s="12" t="e">
        <f>IF(VLOOKUP($A17,값!$A:$W,MATCH(Main!L$1,값!$2:$2,0),0)="",NA(),VLOOKUP($A17,값!$A:$W,MATCH(Main!L$1,값!$2:$2,0),0))</f>
        <v>#N/A</v>
      </c>
      <c r="M17" s="12">
        <f>IF(VLOOKUP($A17,값!$A:$W,MATCH(Main!M$1,값!$2:$2,0),0)="",NA(),VLOOKUP($A17,값!$A:$W,MATCH(Main!M$1,값!$2:$2,0),0))</f>
        <v>5.7000000000000002E-2</v>
      </c>
      <c r="N17" s="12" t="e">
        <f>IF(VLOOKUP($A17,값!$A:$W,MATCH(Main!N$1,값!$2:$2,0),0)="",NA(),VLOOKUP($A17,값!$A:$W,MATCH(Main!N$1,값!$2:$2,0),0))</f>
        <v>#N/A</v>
      </c>
      <c r="O17" s="12" t="e">
        <f>IF(VLOOKUP($A17,값!$A:$W,MATCH(Main!O$1,값!$2:$2,0),0)="",NA(),VLOOKUP($A17,값!$A:$W,MATCH(Main!O$1,값!$2:$2,0),0))</f>
        <v>#N/A</v>
      </c>
      <c r="P17" s="12" t="e">
        <f>IF(VLOOKUP($A17,값!$A:$W,MATCH(Main!P$1,값!$2:$2,0),0)="",NA(),VLOOKUP($A17,값!$A:$W,MATCH(Main!P$1,값!$2:$2,0),0))</f>
        <v>#N/A</v>
      </c>
      <c r="Q17" s="12">
        <f>IF(VLOOKUP($A17,값!$A:$W,MATCH(Main!Q$1,값!$2:$2,0),0)="",NA(),VLOOKUP($A17,값!$A:$W,MATCH(Main!Q$1,값!$2:$2,0),0))</f>
        <v>0.11851888464444338</v>
      </c>
      <c r="R17" s="12" t="e">
        <f>IF(VLOOKUP($A17,값!$A:$W,MATCH(Main!R$1,값!$2:$2,0),0)="",NA(),VLOOKUP($A17,값!$A:$W,MATCH(Main!R$1,값!$2:$2,0),0))</f>
        <v>#N/A</v>
      </c>
      <c r="S17" s="12" t="e">
        <f>IF(VLOOKUP($A17,값!$A:$W,MATCH(Main!S$1,값!$2:$2,0),0)="",NA(),VLOOKUP($A17,값!$A:$W,MATCH(Main!S$1,값!$2:$2,0),0))</f>
        <v>#N/A</v>
      </c>
      <c r="T17" s="12" t="e">
        <f>IF(VLOOKUP($A17,값!$A:$W,MATCH(Main!T$1,값!$2:$2,0),0)="",NA(),VLOOKUP($A17,값!$A:$W,MATCH(Main!T$1,값!$2:$2,0),0))</f>
        <v>#N/A</v>
      </c>
      <c r="U17" s="12" t="e">
        <f>IF(VLOOKUP($A17,값!$A:$W,MATCH(Main!U$1,값!$2:$2,0),0)="",NA(),VLOOKUP($A17,값!$A:$W,MATCH(Main!U$1,값!$2:$2,0),0))</f>
        <v>#N/A</v>
      </c>
      <c r="V17" s="12" t="e">
        <f>IF(VLOOKUP($A17,값!$A:$W,MATCH(Main!V$1,값!$2:$2,0),0)="",NA(),VLOOKUP($A17,값!$A:$W,MATCH(Main!V$1,값!$2:$2,0),0))</f>
        <v>#N/A</v>
      </c>
    </row>
    <row r="18" spans="1:22" x14ac:dyDescent="0.2">
      <c r="A18" s="1">
        <v>38077</v>
      </c>
      <c r="B18" s="12">
        <f>IF(VLOOKUP($A18,값!$A:$W,MATCH(Main!B$1,값!$2:$2,0),0)="",NA(),VLOOKUP($A18,값!$A:$W,MATCH(Main!B$1,값!$2:$2,0),0))</f>
        <v>1.5900000000000001E-2</v>
      </c>
      <c r="C18" s="12">
        <f>IF(VLOOKUP($A18,값!$A:$W,MATCH(Main!C$1,값!$2:$2,0),0)="",NA(),VLOOKUP($A18,값!$A:$W,MATCH(Main!C$1,값!$2:$2,0),0))</f>
        <v>1.52E-2</v>
      </c>
      <c r="D18" s="12">
        <f>IF(VLOOKUP($A18,값!$A:$W,MATCH(Main!D$1,값!$2:$2,0),0)="",NA(),VLOOKUP($A18,값!$A:$W,MATCH(Main!D$1,값!$2:$2,0),0))</f>
        <v>1.52E-2</v>
      </c>
      <c r="E18" s="12">
        <f>IF(VLOOKUP($A18,값!$A:$W,MATCH(Main!E$1,값!$2:$2,0),0)="",NA(),VLOOKUP($A18,값!$A:$W,MATCH(Main!E$1,값!$2:$2,0),0))</f>
        <v>3.6200000000000003E-2</v>
      </c>
      <c r="F18" s="12">
        <f>IF(VLOOKUP($A18,값!$A:$W,MATCH(Main!F$1,값!$2:$2,0),0)="",NA(),VLOOKUP($A18,값!$A:$W,MATCH(Main!F$1,값!$2:$2,0),0))</f>
        <v>-1.21E-2</v>
      </c>
      <c r="G18" s="12">
        <f>IF(VLOOKUP($A18,값!$A:$W,MATCH(Main!G$1,값!$2:$2,0),0)="",NA(),VLOOKUP($A18,값!$A:$W,MATCH(Main!G$1,값!$2:$2,0),0))</f>
        <v>3.6200000000000003E-2</v>
      </c>
      <c r="H18" s="12" t="e">
        <f>IF(VLOOKUP($A18,값!$A:$W,MATCH(Main!H$1,값!$2:$2,0),0)="",NA(),VLOOKUP($A18,값!$A:$W,MATCH(Main!H$1,값!$2:$2,0),0))</f>
        <v>#N/A</v>
      </c>
      <c r="I18" s="12">
        <f>IF(VLOOKUP($A18,값!$A:$W,MATCH(Main!I$1,값!$2:$2,0),0)="",NA(),VLOOKUP($A18,값!$A:$W,MATCH(Main!I$1,값!$2:$2,0),0))</f>
        <v>3.5099999999999999E-2</v>
      </c>
      <c r="J18" s="12">
        <f>IF(VLOOKUP($A18,값!$A:$W,MATCH(Main!J$1,값!$2:$2,0),0)="",NA(),VLOOKUP($A18,값!$A:$W,MATCH(Main!J$1,값!$2:$2,0),0))</f>
        <v>0.13769999999999999</v>
      </c>
      <c r="K18" s="12">
        <f>IF(VLOOKUP($A18,값!$A:$W,MATCH(Main!K$1,값!$2:$2,0),0)="",NA(),VLOOKUP($A18,값!$A:$W,MATCH(Main!K$1,값!$2:$2,0),0))</f>
        <v>2.3805915515983322E-2</v>
      </c>
      <c r="L18" s="12" t="e">
        <f>IF(VLOOKUP($A18,값!$A:$W,MATCH(Main!L$1,값!$2:$2,0),0)="",NA(),VLOOKUP($A18,값!$A:$W,MATCH(Main!L$1,값!$2:$2,0),0))</f>
        <v>#N/A</v>
      </c>
      <c r="M18" s="12">
        <f>IF(VLOOKUP($A18,값!$A:$W,MATCH(Main!M$1,값!$2:$2,0),0)="",NA(),VLOOKUP($A18,값!$A:$W,MATCH(Main!M$1,값!$2:$2,0),0))</f>
        <v>1.84E-2</v>
      </c>
      <c r="N18" s="12" t="e">
        <f>IF(VLOOKUP($A18,값!$A:$W,MATCH(Main!N$1,값!$2:$2,0),0)="",NA(),VLOOKUP($A18,값!$A:$W,MATCH(Main!N$1,값!$2:$2,0),0))</f>
        <v>#N/A</v>
      </c>
      <c r="O18" s="12" t="e">
        <f>IF(VLOOKUP($A18,값!$A:$W,MATCH(Main!O$1,값!$2:$2,0),0)="",NA(),VLOOKUP($A18,값!$A:$W,MATCH(Main!O$1,값!$2:$2,0),0))</f>
        <v>#N/A</v>
      </c>
      <c r="P18" s="12" t="e">
        <f>IF(VLOOKUP($A18,값!$A:$W,MATCH(Main!P$1,값!$2:$2,0),0)="",NA(),VLOOKUP($A18,값!$A:$W,MATCH(Main!P$1,값!$2:$2,0),0))</f>
        <v>#N/A</v>
      </c>
      <c r="Q18" s="12">
        <f>IF(VLOOKUP($A18,값!$A:$W,MATCH(Main!Q$1,값!$2:$2,0),0)="",NA(),VLOOKUP($A18,값!$A:$W,MATCH(Main!Q$1,값!$2:$2,0),0))</f>
        <v>0.13489848997525389</v>
      </c>
      <c r="R18" s="12" t="e">
        <f>IF(VLOOKUP($A18,값!$A:$W,MATCH(Main!R$1,값!$2:$2,0),0)="",NA(),VLOOKUP($A18,값!$A:$W,MATCH(Main!R$1,값!$2:$2,0),0))</f>
        <v>#N/A</v>
      </c>
      <c r="S18" s="12" t="e">
        <f>IF(VLOOKUP($A18,값!$A:$W,MATCH(Main!S$1,값!$2:$2,0),0)="",NA(),VLOOKUP($A18,값!$A:$W,MATCH(Main!S$1,값!$2:$2,0),0))</f>
        <v>#N/A</v>
      </c>
      <c r="T18" s="12" t="e">
        <f>IF(VLOOKUP($A18,값!$A:$W,MATCH(Main!T$1,값!$2:$2,0),0)="",NA(),VLOOKUP($A18,값!$A:$W,MATCH(Main!T$1,값!$2:$2,0),0))</f>
        <v>#N/A</v>
      </c>
      <c r="U18" s="12" t="e">
        <f>IF(VLOOKUP($A18,값!$A:$W,MATCH(Main!U$1,값!$2:$2,0),0)="",NA(),VLOOKUP($A18,값!$A:$W,MATCH(Main!U$1,값!$2:$2,0),0))</f>
        <v>#N/A</v>
      </c>
      <c r="V18" s="12" t="e">
        <f>IF(VLOOKUP($A18,값!$A:$W,MATCH(Main!V$1,값!$2:$2,0),0)="",NA(),VLOOKUP($A18,값!$A:$W,MATCH(Main!V$1,값!$2:$2,0),0))</f>
        <v>#N/A</v>
      </c>
    </row>
    <row r="19" spans="1:22" x14ac:dyDescent="0.2">
      <c r="A19" s="1">
        <v>38168</v>
      </c>
      <c r="B19" s="12">
        <f>IF(VLOOKUP($A19,값!$A:$W,MATCH(Main!B$1,값!$2:$2,0),0)="",NA(),VLOOKUP($A19,값!$A:$W,MATCH(Main!B$1,값!$2:$2,0),0))</f>
        <v>5.1900000000000002E-2</v>
      </c>
      <c r="C19" s="12">
        <f>IF(VLOOKUP($A19,값!$A:$W,MATCH(Main!C$1,값!$2:$2,0),0)="",NA(),VLOOKUP($A19,값!$A:$W,MATCH(Main!C$1,값!$2:$2,0),0))</f>
        <v>3.0000000000000001E-3</v>
      </c>
      <c r="D19" s="12">
        <f>IF(VLOOKUP($A19,값!$A:$W,MATCH(Main!D$1,값!$2:$2,0),0)="",NA(),VLOOKUP($A19,값!$A:$W,MATCH(Main!D$1,값!$2:$2,0),0))</f>
        <v>3.0000000000000001E-3</v>
      </c>
      <c r="E19" s="12">
        <f>IF(VLOOKUP($A19,값!$A:$W,MATCH(Main!E$1,값!$2:$2,0),0)="",NA(),VLOOKUP($A19,값!$A:$W,MATCH(Main!E$1,값!$2:$2,0),0))</f>
        <v>4.8300000000000003E-2</v>
      </c>
      <c r="F19" s="12">
        <f>IF(VLOOKUP($A19,값!$A:$W,MATCH(Main!F$1,값!$2:$2,0),0)="",NA(),VLOOKUP($A19,값!$A:$W,MATCH(Main!F$1,값!$2:$2,0),0))</f>
        <v>2.4500000000000001E-2</v>
      </c>
      <c r="G19" s="12">
        <f>IF(VLOOKUP($A19,값!$A:$W,MATCH(Main!G$1,값!$2:$2,0),0)="",NA(),VLOOKUP($A19,값!$A:$W,MATCH(Main!G$1,값!$2:$2,0),0))</f>
        <v>4.8300000000000003E-2</v>
      </c>
      <c r="H19" s="12" t="e">
        <f>IF(VLOOKUP($A19,값!$A:$W,MATCH(Main!H$1,값!$2:$2,0),0)="",NA(),VLOOKUP($A19,값!$A:$W,MATCH(Main!H$1,값!$2:$2,0),0))</f>
        <v>#N/A</v>
      </c>
      <c r="I19" s="12">
        <f>IF(VLOOKUP($A19,값!$A:$W,MATCH(Main!I$1,값!$2:$2,0),0)="",NA(),VLOOKUP($A19,값!$A:$W,MATCH(Main!I$1,값!$2:$2,0),0))</f>
        <v>3.1300000000000001E-2</v>
      </c>
      <c r="J19" s="12">
        <f>IF(VLOOKUP($A19,값!$A:$W,MATCH(Main!J$1,값!$2:$2,0),0)="",NA(),VLOOKUP($A19,값!$A:$W,MATCH(Main!J$1,값!$2:$2,0),0))</f>
        <v>2.6499999999999999E-2</v>
      </c>
      <c r="K19" s="12">
        <f>IF(VLOOKUP($A19,값!$A:$W,MATCH(Main!K$1,값!$2:$2,0),0)="",NA(),VLOOKUP($A19,값!$A:$W,MATCH(Main!K$1,값!$2:$2,0),0))</f>
        <v>-6.5285202069428339E-3</v>
      </c>
      <c r="L19" s="12" t="e">
        <f>IF(VLOOKUP($A19,값!$A:$W,MATCH(Main!L$1,값!$2:$2,0),0)="",NA(),VLOOKUP($A19,값!$A:$W,MATCH(Main!L$1,값!$2:$2,0),0))</f>
        <v>#N/A</v>
      </c>
      <c r="M19" s="12">
        <f>IF(VLOOKUP($A19,값!$A:$W,MATCH(Main!M$1,값!$2:$2,0),0)="",NA(),VLOOKUP($A19,값!$A:$W,MATCH(Main!M$1,값!$2:$2,0),0))</f>
        <v>2.9600000000000001E-2</v>
      </c>
      <c r="N19" s="12" t="e">
        <f>IF(VLOOKUP($A19,값!$A:$W,MATCH(Main!N$1,값!$2:$2,0),0)="",NA(),VLOOKUP($A19,값!$A:$W,MATCH(Main!N$1,값!$2:$2,0),0))</f>
        <v>#N/A</v>
      </c>
      <c r="O19" s="12" t="e">
        <f>IF(VLOOKUP($A19,값!$A:$W,MATCH(Main!O$1,값!$2:$2,0),0)="",NA(),VLOOKUP($A19,값!$A:$W,MATCH(Main!O$1,값!$2:$2,0),0))</f>
        <v>#N/A</v>
      </c>
      <c r="P19" s="12" t="e">
        <f>IF(VLOOKUP($A19,값!$A:$W,MATCH(Main!P$1,값!$2:$2,0),0)="",NA(),VLOOKUP($A19,값!$A:$W,MATCH(Main!P$1,값!$2:$2,0),0))</f>
        <v>#N/A</v>
      </c>
      <c r="Q19" s="12">
        <f>IF(VLOOKUP($A19,값!$A:$W,MATCH(Main!Q$1,값!$2:$2,0),0)="",NA(),VLOOKUP($A19,값!$A:$W,MATCH(Main!Q$1,값!$2:$2,0),0))</f>
        <v>-4.1273355323539707E-2</v>
      </c>
      <c r="R19" s="12" t="e">
        <f>IF(VLOOKUP($A19,값!$A:$W,MATCH(Main!R$1,값!$2:$2,0),0)="",NA(),VLOOKUP($A19,값!$A:$W,MATCH(Main!R$1,값!$2:$2,0),0))</f>
        <v>#N/A</v>
      </c>
      <c r="S19" s="12" t="e">
        <f>IF(VLOOKUP($A19,값!$A:$W,MATCH(Main!S$1,값!$2:$2,0),0)="",NA(),VLOOKUP($A19,값!$A:$W,MATCH(Main!S$1,값!$2:$2,0),0))</f>
        <v>#N/A</v>
      </c>
      <c r="T19" s="12" t="e">
        <f>IF(VLOOKUP($A19,값!$A:$W,MATCH(Main!T$1,값!$2:$2,0),0)="",NA(),VLOOKUP($A19,값!$A:$W,MATCH(Main!T$1,값!$2:$2,0),0))</f>
        <v>#N/A</v>
      </c>
      <c r="U19" s="12" t="e">
        <f>IF(VLOOKUP($A19,값!$A:$W,MATCH(Main!U$1,값!$2:$2,0),0)="",NA(),VLOOKUP($A19,값!$A:$W,MATCH(Main!U$1,값!$2:$2,0),0))</f>
        <v>#N/A</v>
      </c>
      <c r="V19" s="12" t="e">
        <f>IF(VLOOKUP($A19,값!$A:$W,MATCH(Main!V$1,값!$2:$2,0),0)="",NA(),VLOOKUP($A19,값!$A:$W,MATCH(Main!V$1,값!$2:$2,0),0))</f>
        <v>#N/A</v>
      </c>
    </row>
    <row r="20" spans="1:22" x14ac:dyDescent="0.2">
      <c r="A20" s="1">
        <v>38260</v>
      </c>
      <c r="B20" s="12">
        <f>IF(VLOOKUP($A20,값!$A:$W,MATCH(Main!B$1,값!$2:$2,0),0)="",NA(),VLOOKUP($A20,값!$A:$W,MATCH(Main!B$1,값!$2:$2,0),0))</f>
        <v>2.3699999999999999E-2</v>
      </c>
      <c r="C20" s="12">
        <f>IF(VLOOKUP($A20,값!$A:$W,MATCH(Main!C$1,값!$2:$2,0),0)="",NA(),VLOOKUP($A20,값!$A:$W,MATCH(Main!C$1,값!$2:$2,0),0))</f>
        <v>6.5299999999999997E-2</v>
      </c>
      <c r="D20" s="12">
        <f>IF(VLOOKUP($A20,값!$A:$W,MATCH(Main!D$1,값!$2:$2,0),0)="",NA(),VLOOKUP($A20,값!$A:$W,MATCH(Main!D$1,값!$2:$2,0),0))</f>
        <v>6.5299999999999997E-2</v>
      </c>
      <c r="E20" s="12">
        <f>IF(VLOOKUP($A20,값!$A:$W,MATCH(Main!E$1,값!$2:$2,0),0)="",NA(),VLOOKUP($A20,값!$A:$W,MATCH(Main!E$1,값!$2:$2,0),0))</f>
        <v>4.7399999999999998E-2</v>
      </c>
      <c r="F20" s="12">
        <f>IF(VLOOKUP($A20,값!$A:$W,MATCH(Main!F$1,값!$2:$2,0),0)="",NA(),VLOOKUP($A20,값!$A:$W,MATCH(Main!F$1,값!$2:$2,0),0))</f>
        <v>2.4199999999999999E-2</v>
      </c>
      <c r="G20" s="12">
        <f>IF(VLOOKUP($A20,값!$A:$W,MATCH(Main!G$1,값!$2:$2,0),0)="",NA(),VLOOKUP($A20,값!$A:$W,MATCH(Main!G$1,값!$2:$2,0),0))</f>
        <v>4.7399999999999998E-2</v>
      </c>
      <c r="H20" s="12" t="e">
        <f>IF(VLOOKUP($A20,값!$A:$W,MATCH(Main!H$1,값!$2:$2,0),0)="",NA(),VLOOKUP($A20,값!$A:$W,MATCH(Main!H$1,값!$2:$2,0),0))</f>
        <v>#N/A</v>
      </c>
      <c r="I20" s="12">
        <f>IF(VLOOKUP($A20,값!$A:$W,MATCH(Main!I$1,값!$2:$2,0),0)="",NA(),VLOOKUP($A20,값!$A:$W,MATCH(Main!I$1,값!$2:$2,0),0))</f>
        <v>4.5199999999999997E-2</v>
      </c>
      <c r="J20" s="12">
        <f>IF(VLOOKUP($A20,값!$A:$W,MATCH(Main!J$1,값!$2:$2,0),0)="",NA(),VLOOKUP($A20,값!$A:$W,MATCH(Main!J$1,값!$2:$2,0),0))</f>
        <v>3.7699999999999997E-2</v>
      </c>
      <c r="K20" s="12">
        <f>IF(VLOOKUP($A20,값!$A:$W,MATCH(Main!K$1,값!$2:$2,0),0)="",NA(),VLOOKUP($A20,값!$A:$W,MATCH(Main!K$1,값!$2:$2,0),0))</f>
        <v>4.7303678588399567E-3</v>
      </c>
      <c r="L20" s="12" t="e">
        <f>IF(VLOOKUP($A20,값!$A:$W,MATCH(Main!L$1,값!$2:$2,0),0)="",NA(),VLOOKUP($A20,값!$A:$W,MATCH(Main!L$1,값!$2:$2,0),0))</f>
        <v>#N/A</v>
      </c>
      <c r="M20" s="12">
        <f>IF(VLOOKUP($A20,값!$A:$W,MATCH(Main!M$1,값!$2:$2,0),0)="",NA(),VLOOKUP($A20,값!$A:$W,MATCH(Main!M$1,값!$2:$2,0),0))</f>
        <v>3.8E-3</v>
      </c>
      <c r="N20" s="12" t="e">
        <f>IF(VLOOKUP($A20,값!$A:$W,MATCH(Main!N$1,값!$2:$2,0),0)="",NA(),VLOOKUP($A20,값!$A:$W,MATCH(Main!N$1,값!$2:$2,0),0))</f>
        <v>#N/A</v>
      </c>
      <c r="O20" s="12" t="e">
        <f>IF(VLOOKUP($A20,값!$A:$W,MATCH(Main!O$1,값!$2:$2,0),0)="",NA(),VLOOKUP($A20,값!$A:$W,MATCH(Main!O$1,값!$2:$2,0),0))</f>
        <v>#N/A</v>
      </c>
      <c r="P20" s="12" t="e">
        <f>IF(VLOOKUP($A20,값!$A:$W,MATCH(Main!P$1,값!$2:$2,0),0)="",NA(),VLOOKUP($A20,값!$A:$W,MATCH(Main!P$1,값!$2:$2,0),0))</f>
        <v>#N/A</v>
      </c>
      <c r="Q20" s="12">
        <f>IF(VLOOKUP($A20,값!$A:$W,MATCH(Main!Q$1,값!$2:$2,0),0)="",NA(),VLOOKUP($A20,값!$A:$W,MATCH(Main!Q$1,값!$2:$2,0),0))</f>
        <v>7.5743950057148846E-2</v>
      </c>
      <c r="R20" s="12" t="e">
        <f>IF(VLOOKUP($A20,값!$A:$W,MATCH(Main!R$1,값!$2:$2,0),0)="",NA(),VLOOKUP($A20,값!$A:$W,MATCH(Main!R$1,값!$2:$2,0),0))</f>
        <v>#N/A</v>
      </c>
      <c r="S20" s="12" t="e">
        <f>IF(VLOOKUP($A20,값!$A:$W,MATCH(Main!S$1,값!$2:$2,0),0)="",NA(),VLOOKUP($A20,값!$A:$W,MATCH(Main!S$1,값!$2:$2,0),0))</f>
        <v>#N/A</v>
      </c>
      <c r="T20" s="12" t="e">
        <f>IF(VLOOKUP($A20,값!$A:$W,MATCH(Main!T$1,값!$2:$2,0),0)="",NA(),VLOOKUP($A20,값!$A:$W,MATCH(Main!T$1,값!$2:$2,0),0))</f>
        <v>#N/A</v>
      </c>
      <c r="U20" s="12" t="e">
        <f>IF(VLOOKUP($A20,값!$A:$W,MATCH(Main!U$1,값!$2:$2,0),0)="",NA(),VLOOKUP($A20,값!$A:$W,MATCH(Main!U$1,값!$2:$2,0),0))</f>
        <v>#N/A</v>
      </c>
      <c r="V20" s="12" t="e">
        <f>IF(VLOOKUP($A20,값!$A:$W,MATCH(Main!V$1,값!$2:$2,0),0)="",NA(),VLOOKUP($A20,값!$A:$W,MATCH(Main!V$1,값!$2:$2,0),0))</f>
        <v>#N/A</v>
      </c>
    </row>
    <row r="21" spans="1:22" x14ac:dyDescent="0.2">
      <c r="A21" s="1">
        <v>38352</v>
      </c>
      <c r="B21" s="12">
        <f>IF(VLOOKUP($A21,값!$A:$W,MATCH(Main!B$1,값!$2:$2,0),0)="",NA(),VLOOKUP($A21,값!$A:$W,MATCH(Main!B$1,값!$2:$2,0),0))</f>
        <v>0.15429999999999999</v>
      </c>
      <c r="C21" s="12">
        <f>IF(VLOOKUP($A21,값!$A:$W,MATCH(Main!C$1,값!$2:$2,0),0)="",NA(),VLOOKUP($A21,값!$A:$W,MATCH(Main!C$1,값!$2:$2,0),0))</f>
        <v>5.9700000000000003E-2</v>
      </c>
      <c r="D21" s="12">
        <f>IF(VLOOKUP($A21,값!$A:$W,MATCH(Main!D$1,값!$2:$2,0),0)="",NA(),VLOOKUP($A21,값!$A:$W,MATCH(Main!D$1,값!$2:$2,0),0))</f>
        <v>5.9700000000000003E-2</v>
      </c>
      <c r="E21" s="12">
        <f>IF(VLOOKUP($A21,값!$A:$W,MATCH(Main!E$1,값!$2:$2,0),0)="",NA(),VLOOKUP($A21,값!$A:$W,MATCH(Main!E$1,값!$2:$2,0),0))</f>
        <v>0.15060000000000001</v>
      </c>
      <c r="F21" s="12">
        <f>IF(VLOOKUP($A21,값!$A:$W,MATCH(Main!F$1,값!$2:$2,0),0)="",NA(),VLOOKUP($A21,값!$A:$W,MATCH(Main!F$1,값!$2:$2,0),0))</f>
        <v>9.5899999999999999E-2</v>
      </c>
      <c r="G21" s="12">
        <f>IF(VLOOKUP($A21,값!$A:$W,MATCH(Main!G$1,값!$2:$2,0),0)="",NA(),VLOOKUP($A21,값!$A:$W,MATCH(Main!G$1,값!$2:$2,0),0))</f>
        <v>0.15060000000000001</v>
      </c>
      <c r="H21" s="12" t="e">
        <f>IF(VLOOKUP($A21,값!$A:$W,MATCH(Main!H$1,값!$2:$2,0),0)="",NA(),VLOOKUP($A21,값!$A:$W,MATCH(Main!H$1,값!$2:$2,0),0))</f>
        <v>#N/A</v>
      </c>
      <c r="I21" s="12">
        <f>IF(VLOOKUP($A21,값!$A:$W,MATCH(Main!I$1,값!$2:$2,0),0)="",NA(),VLOOKUP($A21,값!$A:$W,MATCH(Main!I$1,값!$2:$2,0),0))</f>
        <v>0.10100000000000001</v>
      </c>
      <c r="J21" s="12">
        <f>IF(VLOOKUP($A21,값!$A:$W,MATCH(Main!J$1,값!$2:$2,0),0)="",NA(),VLOOKUP($A21,값!$A:$W,MATCH(Main!J$1,값!$2:$2,0),0))</f>
        <v>0.12189999999999999</v>
      </c>
      <c r="K21" s="12">
        <f>IF(VLOOKUP($A21,값!$A:$W,MATCH(Main!K$1,값!$2:$2,0),0)="",NA(),VLOOKUP($A21,값!$A:$W,MATCH(Main!K$1,값!$2:$2,0),0))</f>
        <v>3.5564989134712066E-2</v>
      </c>
      <c r="L21" s="12" t="e">
        <f>IF(VLOOKUP($A21,값!$A:$W,MATCH(Main!L$1,값!$2:$2,0),0)="",NA(),VLOOKUP($A21,값!$A:$W,MATCH(Main!L$1,값!$2:$2,0),0))</f>
        <v>#N/A</v>
      </c>
      <c r="M21" s="12">
        <f>IF(VLOOKUP($A21,값!$A:$W,MATCH(Main!M$1,값!$2:$2,0),0)="",NA(),VLOOKUP($A21,값!$A:$W,MATCH(Main!M$1,값!$2:$2,0),0))</f>
        <v>0.17019999999999999</v>
      </c>
      <c r="N21" s="12" t="e">
        <f>IF(VLOOKUP($A21,값!$A:$W,MATCH(Main!N$1,값!$2:$2,0),0)="",NA(),VLOOKUP($A21,값!$A:$W,MATCH(Main!N$1,값!$2:$2,0),0))</f>
        <v>#N/A</v>
      </c>
      <c r="O21" s="12" t="e">
        <f>IF(VLOOKUP($A21,값!$A:$W,MATCH(Main!O$1,값!$2:$2,0),0)="",NA(),VLOOKUP($A21,값!$A:$W,MATCH(Main!O$1,값!$2:$2,0),0))</f>
        <v>#N/A</v>
      </c>
      <c r="P21" s="12" t="e">
        <f>IF(VLOOKUP($A21,값!$A:$W,MATCH(Main!P$1,값!$2:$2,0),0)="",NA(),VLOOKUP($A21,값!$A:$W,MATCH(Main!P$1,값!$2:$2,0),0))</f>
        <v>#N/A</v>
      </c>
      <c r="Q21" s="12">
        <f>IF(VLOOKUP($A21,값!$A:$W,MATCH(Main!Q$1,값!$2:$2,0),0)="",NA(),VLOOKUP($A21,값!$A:$W,MATCH(Main!Q$1,값!$2:$2,0),0))</f>
        <v>0.17869932906176511</v>
      </c>
      <c r="R21" s="12" t="e">
        <f>IF(VLOOKUP($A21,값!$A:$W,MATCH(Main!R$1,값!$2:$2,0),0)="",NA(),VLOOKUP($A21,값!$A:$W,MATCH(Main!R$1,값!$2:$2,0),0))</f>
        <v>#N/A</v>
      </c>
      <c r="S21" s="12" t="e">
        <f>IF(VLOOKUP($A21,값!$A:$W,MATCH(Main!S$1,값!$2:$2,0),0)="",NA(),VLOOKUP($A21,값!$A:$W,MATCH(Main!S$1,값!$2:$2,0),0))</f>
        <v>#N/A</v>
      </c>
      <c r="T21" s="12" t="e">
        <f>IF(VLOOKUP($A21,값!$A:$W,MATCH(Main!T$1,값!$2:$2,0),0)="",NA(),VLOOKUP($A21,값!$A:$W,MATCH(Main!T$1,값!$2:$2,0),0))</f>
        <v>#N/A</v>
      </c>
      <c r="U21" s="12" t="e">
        <f>IF(VLOOKUP($A21,값!$A:$W,MATCH(Main!U$1,값!$2:$2,0),0)="",NA(),VLOOKUP($A21,값!$A:$W,MATCH(Main!U$1,값!$2:$2,0),0))</f>
        <v>#N/A</v>
      </c>
      <c r="V21" s="12" t="e">
        <f>IF(VLOOKUP($A21,값!$A:$W,MATCH(Main!V$1,값!$2:$2,0),0)="",NA(),VLOOKUP($A21,값!$A:$W,MATCH(Main!V$1,값!$2:$2,0),0))</f>
        <v>#N/A</v>
      </c>
    </row>
    <row r="22" spans="1:22" x14ac:dyDescent="0.2">
      <c r="A22" s="1">
        <v>38442</v>
      </c>
      <c r="B22" s="12">
        <f>IF(VLOOKUP($A22,값!$A:$W,MATCH(Main!B$1,값!$2:$2,0),0)="",NA(),VLOOKUP($A22,값!$A:$W,MATCH(Main!B$1,값!$2:$2,0),0))</f>
        <v>8.3000000000000001E-3</v>
      </c>
      <c r="C22" s="12">
        <f>IF(VLOOKUP($A22,값!$A:$W,MATCH(Main!C$1,값!$2:$2,0),0)="",NA(),VLOOKUP($A22,값!$A:$W,MATCH(Main!C$1,값!$2:$2,0),0))</f>
        <v>-4.7999999999999996E-3</v>
      </c>
      <c r="D22" s="12">
        <f>IF(VLOOKUP($A22,값!$A:$W,MATCH(Main!D$1,값!$2:$2,0),0)="",NA(),VLOOKUP($A22,값!$A:$W,MATCH(Main!D$1,값!$2:$2,0),0))</f>
        <v>-4.7999999999999996E-3</v>
      </c>
      <c r="E22" s="12">
        <f>IF(VLOOKUP($A22,값!$A:$W,MATCH(Main!E$1,값!$2:$2,0),0)="",NA(),VLOOKUP($A22,값!$A:$W,MATCH(Main!E$1,값!$2:$2,0),0))</f>
        <v>6.3E-3</v>
      </c>
      <c r="F22" s="12">
        <f>IF(VLOOKUP($A22,값!$A:$W,MATCH(Main!F$1,값!$2:$2,0),0)="",NA(),VLOOKUP($A22,값!$A:$W,MATCH(Main!F$1,값!$2:$2,0),0))</f>
        <v>-8.6E-3</v>
      </c>
      <c r="G22" s="12">
        <f>IF(VLOOKUP($A22,값!$A:$W,MATCH(Main!G$1,값!$2:$2,0),0)="",NA(),VLOOKUP($A22,값!$A:$W,MATCH(Main!G$1,값!$2:$2,0),0))</f>
        <v>6.3E-3</v>
      </c>
      <c r="H22" s="12" t="e">
        <f>IF(VLOOKUP($A22,값!$A:$W,MATCH(Main!H$1,값!$2:$2,0),0)="",NA(),VLOOKUP($A22,값!$A:$W,MATCH(Main!H$1,값!$2:$2,0),0))</f>
        <v>#N/A</v>
      </c>
      <c r="I22" s="12">
        <f>IF(VLOOKUP($A22,값!$A:$W,MATCH(Main!I$1,값!$2:$2,0),0)="",NA(),VLOOKUP($A22,값!$A:$W,MATCH(Main!I$1,값!$2:$2,0),0))</f>
        <v>2.6100000000000002E-2</v>
      </c>
      <c r="J22" s="12">
        <f>IF(VLOOKUP($A22,값!$A:$W,MATCH(Main!J$1,값!$2:$2,0),0)="",NA(),VLOOKUP($A22,값!$A:$W,MATCH(Main!J$1,값!$2:$2,0),0))</f>
        <v>3.8699999999999998E-2</v>
      </c>
      <c r="K22" s="12">
        <f>IF(VLOOKUP($A22,값!$A:$W,MATCH(Main!K$1,값!$2:$2,0),0)="",NA(),VLOOKUP($A22,값!$A:$W,MATCH(Main!K$1,값!$2:$2,0),0))</f>
        <v>9.187524789149526E-3</v>
      </c>
      <c r="L22" s="12" t="e">
        <f>IF(VLOOKUP($A22,값!$A:$W,MATCH(Main!L$1,값!$2:$2,0),0)="",NA(),VLOOKUP($A22,값!$A:$W,MATCH(Main!L$1,값!$2:$2,0),0))</f>
        <v>#N/A</v>
      </c>
      <c r="M22" s="12">
        <f>IF(VLOOKUP($A22,값!$A:$W,MATCH(Main!M$1,값!$2:$2,0),0)="",NA(),VLOOKUP($A22,값!$A:$W,MATCH(Main!M$1,값!$2:$2,0),0))</f>
        <v>2.8299999999999999E-2</v>
      </c>
      <c r="N22" s="12" t="e">
        <f>IF(VLOOKUP($A22,값!$A:$W,MATCH(Main!N$1,값!$2:$2,0),0)="",NA(),VLOOKUP($A22,값!$A:$W,MATCH(Main!N$1,값!$2:$2,0),0))</f>
        <v>#N/A</v>
      </c>
      <c r="O22" s="12" t="e">
        <f>IF(VLOOKUP($A22,값!$A:$W,MATCH(Main!O$1,값!$2:$2,0),0)="",NA(),VLOOKUP($A22,값!$A:$W,MATCH(Main!O$1,값!$2:$2,0),0))</f>
        <v>#N/A</v>
      </c>
      <c r="P22" s="12" t="e">
        <f>IF(VLOOKUP($A22,값!$A:$W,MATCH(Main!P$1,값!$2:$2,0),0)="",NA(),VLOOKUP($A22,값!$A:$W,MATCH(Main!P$1,값!$2:$2,0),0))</f>
        <v>#N/A</v>
      </c>
      <c r="Q22" s="12">
        <f>IF(VLOOKUP($A22,값!$A:$W,MATCH(Main!Q$1,값!$2:$2,0),0)="",NA(),VLOOKUP($A22,값!$A:$W,MATCH(Main!Q$1,값!$2:$2,0),0))</f>
        <v>-4.9207257086641198E-2</v>
      </c>
      <c r="R22" s="12" t="e">
        <f>IF(VLOOKUP($A22,값!$A:$W,MATCH(Main!R$1,값!$2:$2,0),0)="",NA(),VLOOKUP($A22,값!$A:$W,MATCH(Main!R$1,값!$2:$2,0),0))</f>
        <v>#N/A</v>
      </c>
      <c r="S22" s="12" t="e">
        <f>IF(VLOOKUP($A22,값!$A:$W,MATCH(Main!S$1,값!$2:$2,0),0)="",NA(),VLOOKUP($A22,값!$A:$W,MATCH(Main!S$1,값!$2:$2,0),0))</f>
        <v>#N/A</v>
      </c>
      <c r="T22" s="12" t="e">
        <f>IF(VLOOKUP($A22,값!$A:$W,MATCH(Main!T$1,값!$2:$2,0),0)="",NA(),VLOOKUP($A22,값!$A:$W,MATCH(Main!T$1,값!$2:$2,0),0))</f>
        <v>#N/A</v>
      </c>
      <c r="U22" s="12" t="e">
        <f>IF(VLOOKUP($A22,값!$A:$W,MATCH(Main!U$1,값!$2:$2,0),0)="",NA(),VLOOKUP($A22,값!$A:$W,MATCH(Main!U$1,값!$2:$2,0),0))</f>
        <v>#N/A</v>
      </c>
      <c r="V22" s="12" t="e">
        <f>IF(VLOOKUP($A22,값!$A:$W,MATCH(Main!V$1,값!$2:$2,0),0)="",NA(),VLOOKUP($A22,값!$A:$W,MATCH(Main!V$1,값!$2:$2,0),0))</f>
        <v>#N/A</v>
      </c>
    </row>
    <row r="23" spans="1:22" x14ac:dyDescent="0.2">
      <c r="A23" s="1">
        <v>38533</v>
      </c>
      <c r="B23" s="12">
        <f>IF(VLOOKUP($A23,값!$A:$W,MATCH(Main!B$1,값!$2:$2,0),0)="",NA(),VLOOKUP($A23,값!$A:$W,MATCH(Main!B$1,값!$2:$2,0),0))</f>
        <v>8.8400000000000006E-2</v>
      </c>
      <c r="C23" s="12">
        <f>IF(VLOOKUP($A23,값!$A:$W,MATCH(Main!C$1,값!$2:$2,0),0)="",NA(),VLOOKUP($A23,값!$A:$W,MATCH(Main!C$1,값!$2:$2,0),0))</f>
        <v>2.5999999999999999E-2</v>
      </c>
      <c r="D23" s="12">
        <f>IF(VLOOKUP($A23,값!$A:$W,MATCH(Main!D$1,값!$2:$2,0),0)="",NA(),VLOOKUP($A23,값!$A:$W,MATCH(Main!D$1,값!$2:$2,0),0))</f>
        <v>2.5999999999999999E-2</v>
      </c>
      <c r="E23" s="12">
        <f>IF(VLOOKUP($A23,값!$A:$W,MATCH(Main!E$1,값!$2:$2,0),0)="",NA(),VLOOKUP($A23,값!$A:$W,MATCH(Main!E$1,값!$2:$2,0),0))</f>
        <v>5.9299999999999999E-2</v>
      </c>
      <c r="F23" s="12">
        <f>IF(VLOOKUP($A23,값!$A:$W,MATCH(Main!F$1,값!$2:$2,0),0)="",NA(),VLOOKUP($A23,값!$A:$W,MATCH(Main!F$1,값!$2:$2,0),0))</f>
        <v>1.06E-2</v>
      </c>
      <c r="G23" s="12">
        <f>IF(VLOOKUP($A23,값!$A:$W,MATCH(Main!G$1,값!$2:$2,0),0)="",NA(),VLOOKUP($A23,값!$A:$W,MATCH(Main!G$1,값!$2:$2,0),0))</f>
        <v>5.9299999999999999E-2</v>
      </c>
      <c r="H23" s="12" t="e">
        <f>IF(VLOOKUP($A23,값!$A:$W,MATCH(Main!H$1,값!$2:$2,0),0)="",NA(),VLOOKUP($A23,값!$A:$W,MATCH(Main!H$1,값!$2:$2,0),0))</f>
        <v>#N/A</v>
      </c>
      <c r="I23" s="12">
        <f>IF(VLOOKUP($A23,값!$A:$W,MATCH(Main!I$1,값!$2:$2,0),0)="",NA(),VLOOKUP($A23,값!$A:$W,MATCH(Main!I$1,값!$2:$2,0),0))</f>
        <v>8.2000000000000007E-3</v>
      </c>
      <c r="J23" s="12">
        <f>IF(VLOOKUP($A23,값!$A:$W,MATCH(Main!J$1,값!$2:$2,0),0)="",NA(),VLOOKUP($A23,값!$A:$W,MATCH(Main!J$1,값!$2:$2,0),0))</f>
        <v>-1.3299999999999999E-2</v>
      </c>
      <c r="K23" s="12">
        <f>IF(VLOOKUP($A23,값!$A:$W,MATCH(Main!K$1,값!$2:$2,0),0)="",NA(),VLOOKUP($A23,값!$A:$W,MATCH(Main!K$1,값!$2:$2,0),0))</f>
        <v>-3.1254093912002068E-3</v>
      </c>
      <c r="L23" s="12" t="e">
        <f>IF(VLOOKUP($A23,값!$A:$W,MATCH(Main!L$1,값!$2:$2,0),0)="",NA(),VLOOKUP($A23,값!$A:$W,MATCH(Main!L$1,값!$2:$2,0),0))</f>
        <v>#N/A</v>
      </c>
      <c r="M23" s="12">
        <f>IF(VLOOKUP($A23,값!$A:$W,MATCH(Main!M$1,값!$2:$2,0),0)="",NA(),VLOOKUP($A23,값!$A:$W,MATCH(Main!M$1,값!$2:$2,0),0))</f>
        <v>6.1699999999999998E-2</v>
      </c>
      <c r="N23" s="12" t="e">
        <f>IF(VLOOKUP($A23,값!$A:$W,MATCH(Main!N$1,값!$2:$2,0),0)="",NA(),VLOOKUP($A23,값!$A:$W,MATCH(Main!N$1,값!$2:$2,0),0))</f>
        <v>#N/A</v>
      </c>
      <c r="O23" s="12" t="e">
        <f>IF(VLOOKUP($A23,값!$A:$W,MATCH(Main!O$1,값!$2:$2,0),0)="",NA(),VLOOKUP($A23,값!$A:$W,MATCH(Main!O$1,값!$2:$2,0),0))</f>
        <v>#N/A</v>
      </c>
      <c r="P23" s="12" t="e">
        <f>IF(VLOOKUP($A23,값!$A:$W,MATCH(Main!P$1,값!$2:$2,0),0)="",NA(),VLOOKUP($A23,값!$A:$W,MATCH(Main!P$1,값!$2:$2,0),0))</f>
        <v>#N/A</v>
      </c>
      <c r="Q23" s="12">
        <f>IF(VLOOKUP($A23,값!$A:$W,MATCH(Main!Q$1,값!$2:$2,0),0)="",NA(),VLOOKUP($A23,값!$A:$W,MATCH(Main!Q$1,값!$2:$2,0),0))</f>
        <v>9.286735229148535E-2</v>
      </c>
      <c r="R23" s="12" t="e">
        <f>IF(VLOOKUP($A23,값!$A:$W,MATCH(Main!R$1,값!$2:$2,0),0)="",NA(),VLOOKUP($A23,값!$A:$W,MATCH(Main!R$1,값!$2:$2,0),0))</f>
        <v>#N/A</v>
      </c>
      <c r="S23" s="12" t="e">
        <f>IF(VLOOKUP($A23,값!$A:$W,MATCH(Main!S$1,값!$2:$2,0),0)="",NA(),VLOOKUP($A23,값!$A:$W,MATCH(Main!S$1,값!$2:$2,0),0))</f>
        <v>#N/A</v>
      </c>
      <c r="T23" s="12" t="e">
        <f>IF(VLOOKUP($A23,값!$A:$W,MATCH(Main!T$1,값!$2:$2,0),0)="",NA(),VLOOKUP($A23,값!$A:$W,MATCH(Main!T$1,값!$2:$2,0),0))</f>
        <v>#N/A</v>
      </c>
      <c r="U23" s="12" t="e">
        <f>IF(VLOOKUP($A23,값!$A:$W,MATCH(Main!U$1,값!$2:$2,0),0)="",NA(),VLOOKUP($A23,값!$A:$W,MATCH(Main!U$1,값!$2:$2,0),0))</f>
        <v>#N/A</v>
      </c>
      <c r="V23" s="12" t="e">
        <f>IF(VLOOKUP($A23,값!$A:$W,MATCH(Main!V$1,값!$2:$2,0),0)="",NA(),VLOOKUP($A23,값!$A:$W,MATCH(Main!V$1,값!$2:$2,0),0))</f>
        <v>#N/A</v>
      </c>
    </row>
    <row r="24" spans="1:22" x14ac:dyDescent="0.2">
      <c r="A24" s="1">
        <v>38625</v>
      </c>
      <c r="B24" s="12">
        <f>IF(VLOOKUP($A24,값!$A:$W,MATCH(Main!B$1,값!$2:$2,0),0)="",NA(),VLOOKUP($A24,값!$A:$W,MATCH(Main!B$1,값!$2:$2,0),0))</f>
        <v>6.1699999999999998E-2</v>
      </c>
      <c r="C24" s="12">
        <f>IF(VLOOKUP($A24,값!$A:$W,MATCH(Main!C$1,값!$2:$2,0),0)="",NA(),VLOOKUP($A24,값!$A:$W,MATCH(Main!C$1,값!$2:$2,0),0))</f>
        <v>4.3099999999999999E-2</v>
      </c>
      <c r="D24" s="12">
        <f>IF(VLOOKUP($A24,값!$A:$W,MATCH(Main!D$1,값!$2:$2,0),0)="",NA(),VLOOKUP($A24,값!$A:$W,MATCH(Main!D$1,값!$2:$2,0),0))</f>
        <v>4.3099999999999999E-2</v>
      </c>
      <c r="E24" s="12">
        <f>IF(VLOOKUP($A24,값!$A:$W,MATCH(Main!E$1,값!$2:$2,0),0)="",NA(),VLOOKUP($A24,값!$A:$W,MATCH(Main!E$1,값!$2:$2,0),0))</f>
        <v>7.1499999999999994E-2</v>
      </c>
      <c r="F24" s="12">
        <f>IF(VLOOKUP($A24,값!$A:$W,MATCH(Main!F$1,값!$2:$2,0),0)="",NA(),VLOOKUP($A24,값!$A:$W,MATCH(Main!F$1,값!$2:$2,0),0))</f>
        <v>4.3700000000000003E-2</v>
      </c>
      <c r="G24" s="12">
        <f>IF(VLOOKUP($A24,값!$A:$W,MATCH(Main!G$1,값!$2:$2,0),0)="",NA(),VLOOKUP($A24,값!$A:$W,MATCH(Main!G$1,값!$2:$2,0),0))</f>
        <v>7.1499999999999994E-2</v>
      </c>
      <c r="H24" s="12" t="e">
        <f>IF(VLOOKUP($A24,값!$A:$W,MATCH(Main!H$1,값!$2:$2,0),0)="",NA(),VLOOKUP($A24,값!$A:$W,MATCH(Main!H$1,값!$2:$2,0),0))</f>
        <v>#N/A</v>
      </c>
      <c r="I24" s="12">
        <f>IF(VLOOKUP($A24,값!$A:$W,MATCH(Main!I$1,값!$2:$2,0),0)="",NA(),VLOOKUP($A24,값!$A:$W,MATCH(Main!I$1,값!$2:$2,0),0))</f>
        <v>5.4100000000000002E-2</v>
      </c>
      <c r="J24" s="12">
        <f>IF(VLOOKUP($A24,값!$A:$W,MATCH(Main!J$1,값!$2:$2,0),0)="",NA(),VLOOKUP($A24,값!$A:$W,MATCH(Main!J$1,값!$2:$2,0),0))</f>
        <v>1.0699999999999999E-2</v>
      </c>
      <c r="K24" s="12">
        <f>IF(VLOOKUP($A24,값!$A:$W,MATCH(Main!K$1,값!$2:$2,0),0)="",NA(),VLOOKUP($A24,값!$A:$W,MATCH(Main!K$1,값!$2:$2,0),0))</f>
        <v>2.9979920545210703E-2</v>
      </c>
      <c r="L24" s="12" t="e">
        <f>IF(VLOOKUP($A24,값!$A:$W,MATCH(Main!L$1,값!$2:$2,0),0)="",NA(),VLOOKUP($A24,값!$A:$W,MATCH(Main!L$1,값!$2:$2,0),0))</f>
        <v>#N/A</v>
      </c>
      <c r="M24" s="12">
        <f>IF(VLOOKUP($A24,값!$A:$W,MATCH(Main!M$1,값!$2:$2,0),0)="",NA(),VLOOKUP($A24,값!$A:$W,MATCH(Main!M$1,값!$2:$2,0),0))</f>
        <v>5.8099999999999999E-2</v>
      </c>
      <c r="N24" s="12" t="e">
        <f>IF(VLOOKUP($A24,값!$A:$W,MATCH(Main!N$1,값!$2:$2,0),0)="",NA(),VLOOKUP($A24,값!$A:$W,MATCH(Main!N$1,값!$2:$2,0),0))</f>
        <v>#N/A</v>
      </c>
      <c r="O24" s="12" t="e">
        <f>IF(VLOOKUP($A24,값!$A:$W,MATCH(Main!O$1,값!$2:$2,0),0)="",NA(),VLOOKUP($A24,값!$A:$W,MATCH(Main!O$1,값!$2:$2,0),0))</f>
        <v>#N/A</v>
      </c>
      <c r="P24" s="12" t="e">
        <f>IF(VLOOKUP($A24,값!$A:$W,MATCH(Main!P$1,값!$2:$2,0),0)="",NA(),VLOOKUP($A24,값!$A:$W,MATCH(Main!P$1,값!$2:$2,0),0))</f>
        <v>#N/A</v>
      </c>
      <c r="Q24" s="12">
        <f>IF(VLOOKUP($A24,값!$A:$W,MATCH(Main!Q$1,값!$2:$2,0),0)="",NA(),VLOOKUP($A24,값!$A:$W,MATCH(Main!Q$1,값!$2:$2,0),0))</f>
        <v>6.0760586204466893E-2</v>
      </c>
      <c r="R24" s="12" t="e">
        <f>IF(VLOOKUP($A24,값!$A:$W,MATCH(Main!R$1,값!$2:$2,0),0)="",NA(),VLOOKUP($A24,값!$A:$W,MATCH(Main!R$1,값!$2:$2,0),0))</f>
        <v>#N/A</v>
      </c>
      <c r="S24" s="12" t="e">
        <f>IF(VLOOKUP($A24,값!$A:$W,MATCH(Main!S$1,값!$2:$2,0),0)="",NA(),VLOOKUP($A24,값!$A:$W,MATCH(Main!S$1,값!$2:$2,0),0))</f>
        <v>#N/A</v>
      </c>
      <c r="T24" s="12" t="e">
        <f>IF(VLOOKUP($A24,값!$A:$W,MATCH(Main!T$1,값!$2:$2,0),0)="",NA(),VLOOKUP($A24,값!$A:$W,MATCH(Main!T$1,값!$2:$2,0),0))</f>
        <v>#N/A</v>
      </c>
      <c r="U24" s="12" t="e">
        <f>IF(VLOOKUP($A24,값!$A:$W,MATCH(Main!U$1,값!$2:$2,0),0)="",NA(),VLOOKUP($A24,값!$A:$W,MATCH(Main!U$1,값!$2:$2,0),0))</f>
        <v>#N/A</v>
      </c>
      <c r="V24" s="12" t="e">
        <f>IF(VLOOKUP($A24,값!$A:$W,MATCH(Main!V$1,값!$2:$2,0),0)="",NA(),VLOOKUP($A24,값!$A:$W,MATCH(Main!V$1,값!$2:$2,0),0))</f>
        <v>#N/A</v>
      </c>
    </row>
    <row r="25" spans="1:22" x14ac:dyDescent="0.2">
      <c r="A25" s="1">
        <v>38717</v>
      </c>
      <c r="B25" s="12">
        <f>IF(VLOOKUP($A25,값!$A:$W,MATCH(Main!B$1,값!$2:$2,0),0)="",NA(),VLOOKUP($A25,값!$A:$W,MATCH(Main!B$1,값!$2:$2,0),0))</f>
        <v>8.4199999999999997E-2</v>
      </c>
      <c r="C25" s="12">
        <f>IF(VLOOKUP($A25,값!$A:$W,MATCH(Main!C$1,값!$2:$2,0),0)="",NA(),VLOOKUP($A25,값!$A:$W,MATCH(Main!C$1,값!$2:$2,0),0))</f>
        <v>1.8800000000000001E-2</v>
      </c>
      <c r="D25" s="12">
        <f>IF(VLOOKUP($A25,값!$A:$W,MATCH(Main!D$1,값!$2:$2,0),0)="",NA(),VLOOKUP($A25,값!$A:$W,MATCH(Main!D$1,값!$2:$2,0),0))</f>
        <v>1.8800000000000001E-2</v>
      </c>
      <c r="E25" s="12">
        <f>IF(VLOOKUP($A25,값!$A:$W,MATCH(Main!E$1,값!$2:$2,0),0)="",NA(),VLOOKUP($A25,값!$A:$W,MATCH(Main!E$1,값!$2:$2,0),0))</f>
        <v>0.1326</v>
      </c>
      <c r="F25" s="12">
        <f>IF(VLOOKUP($A25,값!$A:$W,MATCH(Main!F$1,값!$2:$2,0),0)="",NA(),VLOOKUP($A25,값!$A:$W,MATCH(Main!F$1,값!$2:$2,0),0))</f>
        <v>8.7300000000000003E-2</v>
      </c>
      <c r="G25" s="12">
        <f>IF(VLOOKUP($A25,값!$A:$W,MATCH(Main!G$1,값!$2:$2,0),0)="",NA(),VLOOKUP($A25,값!$A:$W,MATCH(Main!G$1,값!$2:$2,0),0))</f>
        <v>0.1326</v>
      </c>
      <c r="H25" s="12" t="e">
        <f>IF(VLOOKUP($A25,값!$A:$W,MATCH(Main!H$1,값!$2:$2,0),0)="",NA(),VLOOKUP($A25,값!$A:$W,MATCH(Main!H$1,값!$2:$2,0),0))</f>
        <v>#N/A</v>
      </c>
      <c r="I25" s="12">
        <f>IF(VLOOKUP($A25,값!$A:$W,MATCH(Main!I$1,값!$2:$2,0),0)="",NA(),VLOOKUP($A25,값!$A:$W,MATCH(Main!I$1,값!$2:$2,0),0))</f>
        <v>1.55E-2</v>
      </c>
      <c r="J25" s="12">
        <f>IF(VLOOKUP($A25,값!$A:$W,MATCH(Main!J$1,값!$2:$2,0),0)="",NA(),VLOOKUP($A25,값!$A:$W,MATCH(Main!J$1,값!$2:$2,0),0))</f>
        <v>0.1157</v>
      </c>
      <c r="K25" s="12">
        <f>IF(VLOOKUP($A25,값!$A:$W,MATCH(Main!K$1,값!$2:$2,0),0)="",NA(),VLOOKUP($A25,값!$A:$W,MATCH(Main!K$1,값!$2:$2,0),0))</f>
        <v>1.4550786696283735E-2</v>
      </c>
      <c r="L25" s="12" t="e">
        <f>IF(VLOOKUP($A25,값!$A:$W,MATCH(Main!L$1,값!$2:$2,0),0)="",NA(),VLOOKUP($A25,값!$A:$W,MATCH(Main!L$1,값!$2:$2,0),0))</f>
        <v>#N/A</v>
      </c>
      <c r="M25" s="12">
        <f>IF(VLOOKUP($A25,값!$A:$W,MATCH(Main!M$1,값!$2:$2,0),0)="",NA(),VLOOKUP($A25,값!$A:$W,MATCH(Main!M$1,값!$2:$2,0),0))</f>
        <v>0.11700000000000001</v>
      </c>
      <c r="N25" s="12" t="e">
        <f>IF(VLOOKUP($A25,값!$A:$W,MATCH(Main!N$1,값!$2:$2,0),0)="",NA(),VLOOKUP($A25,값!$A:$W,MATCH(Main!N$1,값!$2:$2,0),0))</f>
        <v>#N/A</v>
      </c>
      <c r="O25" s="12" t="e">
        <f>IF(VLOOKUP($A25,값!$A:$W,MATCH(Main!O$1,값!$2:$2,0),0)="",NA(),VLOOKUP($A25,값!$A:$W,MATCH(Main!O$1,값!$2:$2,0),0))</f>
        <v>#N/A</v>
      </c>
      <c r="P25" s="12" t="e">
        <f>IF(VLOOKUP($A25,값!$A:$W,MATCH(Main!P$1,값!$2:$2,0),0)="",NA(),VLOOKUP($A25,값!$A:$W,MATCH(Main!P$1,값!$2:$2,0),0))</f>
        <v>#N/A</v>
      </c>
      <c r="Q25" s="12">
        <f>IF(VLOOKUP($A25,값!$A:$W,MATCH(Main!Q$1,값!$2:$2,0),0)="",NA(),VLOOKUP($A25,값!$A:$W,MATCH(Main!Q$1,값!$2:$2,0),0))</f>
        <v>4.6536535954766922E-2</v>
      </c>
      <c r="R25" s="12" t="e">
        <f>IF(VLOOKUP($A25,값!$A:$W,MATCH(Main!R$1,값!$2:$2,0),0)="",NA(),VLOOKUP($A25,값!$A:$W,MATCH(Main!R$1,값!$2:$2,0),0))</f>
        <v>#N/A</v>
      </c>
      <c r="S25" s="12" t="e">
        <f>IF(VLOOKUP($A25,값!$A:$W,MATCH(Main!S$1,값!$2:$2,0),0)="",NA(),VLOOKUP($A25,값!$A:$W,MATCH(Main!S$1,값!$2:$2,0),0))</f>
        <v>#N/A</v>
      </c>
      <c r="T25" s="12" t="e">
        <f>IF(VLOOKUP($A25,값!$A:$W,MATCH(Main!T$1,값!$2:$2,0),0)="",NA(),VLOOKUP($A25,값!$A:$W,MATCH(Main!T$1,값!$2:$2,0),0))</f>
        <v>#N/A</v>
      </c>
      <c r="U25" s="12" t="e">
        <f>IF(VLOOKUP($A25,값!$A:$W,MATCH(Main!U$1,값!$2:$2,0),0)="",NA(),VLOOKUP($A25,값!$A:$W,MATCH(Main!U$1,값!$2:$2,0),0))</f>
        <v>#N/A</v>
      </c>
      <c r="V25" s="12" t="e">
        <f>IF(VLOOKUP($A25,값!$A:$W,MATCH(Main!V$1,값!$2:$2,0),0)="",NA(),VLOOKUP($A25,값!$A:$W,MATCH(Main!V$1,값!$2:$2,0),0))</f>
        <v>#N/A</v>
      </c>
    </row>
    <row r="26" spans="1:22" x14ac:dyDescent="0.2">
      <c r="A26" s="1">
        <v>38807</v>
      </c>
      <c r="B26" s="12">
        <f>IF(VLOOKUP($A26,값!$A:$W,MATCH(Main!B$1,값!$2:$2,0),0)="",NA(),VLOOKUP($A26,값!$A:$W,MATCH(Main!B$1,값!$2:$2,0),0))</f>
        <v>5.21E-2</v>
      </c>
      <c r="C26" s="12">
        <f>IF(VLOOKUP($A26,값!$A:$W,MATCH(Main!C$1,값!$2:$2,0),0)="",NA(),VLOOKUP($A26,값!$A:$W,MATCH(Main!C$1,값!$2:$2,0),0))</f>
        <v>4.2999999999999997E-2</v>
      </c>
      <c r="D26" s="12">
        <f>IF(VLOOKUP($A26,값!$A:$W,MATCH(Main!D$1,값!$2:$2,0),0)="",NA(),VLOOKUP($A26,값!$A:$W,MATCH(Main!D$1,값!$2:$2,0),0))</f>
        <v>4.2999999999999997E-2</v>
      </c>
      <c r="E26" s="12">
        <f>IF(VLOOKUP($A26,값!$A:$W,MATCH(Main!E$1,값!$2:$2,0),0)="",NA(),VLOOKUP($A26,값!$A:$W,MATCH(Main!E$1,값!$2:$2,0),0))</f>
        <v>2.01E-2</v>
      </c>
      <c r="F26" s="12">
        <f>IF(VLOOKUP($A26,값!$A:$W,MATCH(Main!F$1,값!$2:$2,0),0)="",NA(),VLOOKUP($A26,값!$A:$W,MATCH(Main!F$1,값!$2:$2,0),0))</f>
        <v>3.0700000000000002E-2</v>
      </c>
      <c r="G26" s="12">
        <f>IF(VLOOKUP($A26,값!$A:$W,MATCH(Main!G$1,값!$2:$2,0),0)="",NA(),VLOOKUP($A26,값!$A:$W,MATCH(Main!G$1,값!$2:$2,0),0))</f>
        <v>2.01E-2</v>
      </c>
      <c r="H26" s="12" t="e">
        <f>IF(VLOOKUP($A26,값!$A:$W,MATCH(Main!H$1,값!$2:$2,0),0)="",NA(),VLOOKUP($A26,값!$A:$W,MATCH(Main!H$1,값!$2:$2,0),0))</f>
        <v>#N/A</v>
      </c>
      <c r="I26" s="12">
        <f>IF(VLOOKUP($A26,값!$A:$W,MATCH(Main!I$1,값!$2:$2,0),0)="",NA(),VLOOKUP($A26,값!$A:$W,MATCH(Main!I$1,값!$2:$2,0),0))</f>
        <v>5.4100000000000002E-2</v>
      </c>
      <c r="J26" s="12">
        <f>IF(VLOOKUP($A26,값!$A:$W,MATCH(Main!J$1,값!$2:$2,0),0)="",NA(),VLOOKUP($A26,값!$A:$W,MATCH(Main!J$1,값!$2:$2,0),0))</f>
        <v>2.5100000000000001E-2</v>
      </c>
      <c r="K26" s="12">
        <f>IF(VLOOKUP($A26,값!$A:$W,MATCH(Main!K$1,값!$2:$2,0),0)="",NA(),VLOOKUP($A26,값!$A:$W,MATCH(Main!K$1,값!$2:$2,0),0))</f>
        <v>3.9306293592284547E-2</v>
      </c>
      <c r="L26" s="12" t="e">
        <f>IF(VLOOKUP($A26,값!$A:$W,MATCH(Main!L$1,값!$2:$2,0),0)="",NA(),VLOOKUP($A26,값!$A:$W,MATCH(Main!L$1,값!$2:$2,0),0))</f>
        <v>#N/A</v>
      </c>
      <c r="M26" s="12">
        <f>IF(VLOOKUP($A26,값!$A:$W,MATCH(Main!M$1,값!$2:$2,0),0)="",NA(),VLOOKUP($A26,값!$A:$W,MATCH(Main!M$1,값!$2:$2,0),0))</f>
        <v>2.1299999999999999E-2</v>
      </c>
      <c r="N26" s="12" t="e">
        <f>IF(VLOOKUP($A26,값!$A:$W,MATCH(Main!N$1,값!$2:$2,0),0)="",NA(),VLOOKUP($A26,값!$A:$W,MATCH(Main!N$1,값!$2:$2,0),0))</f>
        <v>#N/A</v>
      </c>
      <c r="O26" s="12" t="e">
        <f>IF(VLOOKUP($A26,값!$A:$W,MATCH(Main!O$1,값!$2:$2,0),0)="",NA(),VLOOKUP($A26,값!$A:$W,MATCH(Main!O$1,값!$2:$2,0),0))</f>
        <v>#N/A</v>
      </c>
      <c r="P26" s="12" t="e">
        <f>IF(VLOOKUP($A26,값!$A:$W,MATCH(Main!P$1,값!$2:$2,0),0)="",NA(),VLOOKUP($A26,값!$A:$W,MATCH(Main!P$1,값!$2:$2,0),0))</f>
        <v>#N/A</v>
      </c>
      <c r="Q26" s="12">
        <f>IF(VLOOKUP($A26,값!$A:$W,MATCH(Main!Q$1,값!$2:$2,0),0)="",NA(),VLOOKUP($A26,값!$A:$W,MATCH(Main!Q$1,값!$2:$2,0),0))</f>
        <v>0.13985148514851486</v>
      </c>
      <c r="R26" s="12" t="e">
        <f>IF(VLOOKUP($A26,값!$A:$W,MATCH(Main!R$1,값!$2:$2,0),0)="",NA(),VLOOKUP($A26,값!$A:$W,MATCH(Main!R$1,값!$2:$2,0),0))</f>
        <v>#N/A</v>
      </c>
      <c r="S26" s="12" t="e">
        <f>IF(VLOOKUP($A26,값!$A:$W,MATCH(Main!S$1,값!$2:$2,0),0)="",NA(),VLOOKUP($A26,값!$A:$W,MATCH(Main!S$1,값!$2:$2,0),0))</f>
        <v>#N/A</v>
      </c>
      <c r="T26" s="12" t="e">
        <f>IF(VLOOKUP($A26,값!$A:$W,MATCH(Main!T$1,값!$2:$2,0),0)="",NA(),VLOOKUP($A26,값!$A:$W,MATCH(Main!T$1,값!$2:$2,0),0))</f>
        <v>#N/A</v>
      </c>
      <c r="U26" s="12" t="e">
        <f>IF(VLOOKUP($A26,값!$A:$W,MATCH(Main!U$1,값!$2:$2,0),0)="",NA(),VLOOKUP($A26,값!$A:$W,MATCH(Main!U$1,값!$2:$2,0),0))</f>
        <v>#N/A</v>
      </c>
      <c r="V26" s="12" t="e">
        <f>IF(VLOOKUP($A26,값!$A:$W,MATCH(Main!V$1,값!$2:$2,0),0)="",NA(),VLOOKUP($A26,값!$A:$W,MATCH(Main!V$1,값!$2:$2,0),0))</f>
        <v>#N/A</v>
      </c>
    </row>
    <row r="27" spans="1:22" x14ac:dyDescent="0.2">
      <c r="A27" s="1">
        <v>38898</v>
      </c>
      <c r="B27" s="12">
        <f>IF(VLOOKUP($A27,값!$A:$W,MATCH(Main!B$1,값!$2:$2,0),0)="",NA(),VLOOKUP($A27,값!$A:$W,MATCH(Main!B$1,값!$2:$2,0),0))</f>
        <v>8.14E-2</v>
      </c>
      <c r="C27" s="12">
        <f>IF(VLOOKUP($A27,값!$A:$W,MATCH(Main!C$1,값!$2:$2,0),0)="",NA(),VLOOKUP($A27,값!$A:$W,MATCH(Main!C$1,값!$2:$2,0),0))</f>
        <v>4.1000000000000003E-3</v>
      </c>
      <c r="D27" s="12">
        <f>IF(VLOOKUP($A27,값!$A:$W,MATCH(Main!D$1,값!$2:$2,0),0)="",NA(),VLOOKUP($A27,값!$A:$W,MATCH(Main!D$1,값!$2:$2,0),0))</f>
        <v>4.1000000000000003E-3</v>
      </c>
      <c r="E27" s="12">
        <f>IF(VLOOKUP($A27,값!$A:$W,MATCH(Main!E$1,값!$2:$2,0),0)="",NA(),VLOOKUP($A27,값!$A:$W,MATCH(Main!E$1,값!$2:$2,0),0))</f>
        <v>5.7099999999999998E-2</v>
      </c>
      <c r="F27" s="12">
        <f>IF(VLOOKUP($A27,값!$A:$W,MATCH(Main!F$1,값!$2:$2,0),0)="",NA(),VLOOKUP($A27,값!$A:$W,MATCH(Main!F$1,값!$2:$2,0),0))</f>
        <v>0.04</v>
      </c>
      <c r="G27" s="12">
        <f>IF(VLOOKUP($A27,값!$A:$W,MATCH(Main!G$1,값!$2:$2,0),0)="",NA(),VLOOKUP($A27,값!$A:$W,MATCH(Main!G$1,값!$2:$2,0),0))</f>
        <v>5.7099999999999998E-2</v>
      </c>
      <c r="H27" s="12" t="e">
        <f>IF(VLOOKUP($A27,값!$A:$W,MATCH(Main!H$1,값!$2:$2,0),0)="",NA(),VLOOKUP($A27,값!$A:$W,MATCH(Main!H$1,값!$2:$2,0),0))</f>
        <v>#N/A</v>
      </c>
      <c r="I27" s="12">
        <f>IF(VLOOKUP($A27,값!$A:$W,MATCH(Main!I$1,값!$2:$2,0),0)="",NA(),VLOOKUP($A27,값!$A:$W,MATCH(Main!I$1,값!$2:$2,0),0))</f>
        <v>7.0599999999999996E-2</v>
      </c>
      <c r="J27" s="12">
        <f>IF(VLOOKUP($A27,값!$A:$W,MATCH(Main!J$1,값!$2:$2,0),0)="",NA(),VLOOKUP($A27,값!$A:$W,MATCH(Main!J$1,값!$2:$2,0),0))</f>
        <v>2.9399999999999999E-2</v>
      </c>
      <c r="K27" s="12">
        <f>IF(VLOOKUP($A27,값!$A:$W,MATCH(Main!K$1,값!$2:$2,0),0)="",NA(),VLOOKUP($A27,값!$A:$W,MATCH(Main!K$1,값!$2:$2,0),0))</f>
        <v>6.3046229945875609E-3</v>
      </c>
      <c r="L27" s="12" t="e">
        <f>IF(VLOOKUP($A27,값!$A:$W,MATCH(Main!L$1,값!$2:$2,0),0)="",NA(),VLOOKUP($A27,값!$A:$W,MATCH(Main!L$1,값!$2:$2,0),0))</f>
        <v>#N/A</v>
      </c>
      <c r="M27" s="12">
        <f>IF(VLOOKUP($A27,값!$A:$W,MATCH(Main!M$1,값!$2:$2,0),0)="",NA(),VLOOKUP($A27,값!$A:$W,MATCH(Main!M$1,값!$2:$2,0),0))</f>
        <v>4.0599999999999997E-2</v>
      </c>
      <c r="N27" s="12" t="e">
        <f>IF(VLOOKUP($A27,값!$A:$W,MATCH(Main!N$1,값!$2:$2,0),0)="",NA(),VLOOKUP($A27,값!$A:$W,MATCH(Main!N$1,값!$2:$2,0),0))</f>
        <v>#N/A</v>
      </c>
      <c r="O27" s="12" t="e">
        <f>IF(VLOOKUP($A27,값!$A:$W,MATCH(Main!O$1,값!$2:$2,0),0)="",NA(),VLOOKUP($A27,값!$A:$W,MATCH(Main!O$1,값!$2:$2,0),0))</f>
        <v>#N/A</v>
      </c>
      <c r="P27" s="12" t="e">
        <f>IF(VLOOKUP($A27,값!$A:$W,MATCH(Main!P$1,값!$2:$2,0),0)="",NA(),VLOOKUP($A27,값!$A:$W,MATCH(Main!P$1,값!$2:$2,0),0))</f>
        <v>#N/A</v>
      </c>
      <c r="Q27" s="12">
        <f>IF(VLOOKUP($A27,값!$A:$W,MATCH(Main!Q$1,값!$2:$2,0),0)="",NA(),VLOOKUP($A27,값!$A:$W,MATCH(Main!Q$1,값!$2:$2,0),0))</f>
        <v>-3.6958155850663754E-3</v>
      </c>
      <c r="R27" s="12" t="e">
        <f>IF(VLOOKUP($A27,값!$A:$W,MATCH(Main!R$1,값!$2:$2,0),0)="",NA(),VLOOKUP($A27,값!$A:$W,MATCH(Main!R$1,값!$2:$2,0),0))</f>
        <v>#N/A</v>
      </c>
      <c r="S27" s="12" t="e">
        <f>IF(VLOOKUP($A27,값!$A:$W,MATCH(Main!S$1,값!$2:$2,0),0)="",NA(),VLOOKUP($A27,값!$A:$W,MATCH(Main!S$1,값!$2:$2,0),0))</f>
        <v>#N/A</v>
      </c>
      <c r="T27" s="12" t="e">
        <f>IF(VLOOKUP($A27,값!$A:$W,MATCH(Main!T$1,값!$2:$2,0),0)="",NA(),VLOOKUP($A27,값!$A:$W,MATCH(Main!T$1,값!$2:$2,0),0))</f>
        <v>#N/A</v>
      </c>
      <c r="U27" s="12" t="e">
        <f>IF(VLOOKUP($A27,값!$A:$W,MATCH(Main!U$1,값!$2:$2,0),0)="",NA(),VLOOKUP($A27,값!$A:$W,MATCH(Main!U$1,값!$2:$2,0),0))</f>
        <v>#N/A</v>
      </c>
      <c r="V27" s="12" t="e">
        <f>IF(VLOOKUP($A27,값!$A:$W,MATCH(Main!V$1,값!$2:$2,0),0)="",NA(),VLOOKUP($A27,값!$A:$W,MATCH(Main!V$1,값!$2:$2,0),0))</f>
        <v>#N/A</v>
      </c>
    </row>
    <row r="28" spans="1:22" x14ac:dyDescent="0.2">
      <c r="A28" s="1">
        <v>38990</v>
      </c>
      <c r="B28" s="12">
        <f>IF(VLOOKUP($A28,값!$A:$W,MATCH(Main!B$1,값!$2:$2,0),0)="",NA(),VLOOKUP($A28,값!$A:$W,MATCH(Main!B$1,값!$2:$2,0),0))</f>
        <v>3.2099999999999997E-2</v>
      </c>
      <c r="C28" s="12">
        <f>IF(VLOOKUP($A28,값!$A:$W,MATCH(Main!C$1,값!$2:$2,0),0)="",NA(),VLOOKUP($A28,값!$A:$W,MATCH(Main!C$1,값!$2:$2,0),0))</f>
        <v>1.4500000000000001E-2</v>
      </c>
      <c r="D28" s="12">
        <f>IF(VLOOKUP($A28,값!$A:$W,MATCH(Main!D$1,값!$2:$2,0),0)="",NA(),VLOOKUP($A28,값!$A:$W,MATCH(Main!D$1,값!$2:$2,0),0))</f>
        <v>1.4500000000000001E-2</v>
      </c>
      <c r="E28" s="12">
        <f>IF(VLOOKUP($A28,값!$A:$W,MATCH(Main!E$1,값!$2:$2,0),0)="",NA(),VLOOKUP($A28,값!$A:$W,MATCH(Main!E$1,값!$2:$2,0),0))</f>
        <v>3.9399999999999998E-2</v>
      </c>
      <c r="F28" s="12">
        <f>IF(VLOOKUP($A28,값!$A:$W,MATCH(Main!F$1,값!$2:$2,0),0)="",NA(),VLOOKUP($A28,값!$A:$W,MATCH(Main!F$1,값!$2:$2,0),0))</f>
        <v>2.86E-2</v>
      </c>
      <c r="G28" s="12">
        <f>IF(VLOOKUP($A28,값!$A:$W,MATCH(Main!G$1,값!$2:$2,0),0)="",NA(),VLOOKUP($A28,값!$A:$W,MATCH(Main!G$1,값!$2:$2,0),0))</f>
        <v>3.9399999999999998E-2</v>
      </c>
      <c r="H28" s="12" t="e">
        <f>IF(VLOOKUP($A28,값!$A:$W,MATCH(Main!H$1,값!$2:$2,0),0)="",NA(),VLOOKUP($A28,값!$A:$W,MATCH(Main!H$1,값!$2:$2,0),0))</f>
        <v>#N/A</v>
      </c>
      <c r="I28" s="12">
        <f>IF(VLOOKUP($A28,값!$A:$W,MATCH(Main!I$1,값!$2:$2,0),0)="",NA(),VLOOKUP($A28,값!$A:$W,MATCH(Main!I$1,값!$2:$2,0),0))</f>
        <v>2.8299999999999999E-2</v>
      </c>
      <c r="J28" s="12">
        <f>IF(VLOOKUP($A28,값!$A:$W,MATCH(Main!J$1,값!$2:$2,0),0)="",NA(),VLOOKUP($A28,값!$A:$W,MATCH(Main!J$1,값!$2:$2,0),0))</f>
        <v>-8.0000000000000004E-4</v>
      </c>
      <c r="K28" s="12">
        <f>IF(VLOOKUP($A28,값!$A:$W,MATCH(Main!K$1,값!$2:$2,0),0)="",NA(),VLOOKUP($A28,값!$A:$W,MATCH(Main!K$1,값!$2:$2,0),0))</f>
        <v>4.6450011050369611E-3</v>
      </c>
      <c r="L28" s="12" t="e">
        <f>IF(VLOOKUP($A28,값!$A:$W,MATCH(Main!L$1,값!$2:$2,0),0)="",NA(),VLOOKUP($A28,값!$A:$W,MATCH(Main!L$1,값!$2:$2,0),0))</f>
        <v>#N/A</v>
      </c>
      <c r="M28" s="12">
        <f>IF(VLOOKUP($A28,값!$A:$W,MATCH(Main!M$1,값!$2:$2,0),0)="",NA(),VLOOKUP($A28,값!$A:$W,MATCH(Main!M$1,값!$2:$2,0),0))</f>
        <v>3.4299999999999997E-2</v>
      </c>
      <c r="N28" s="12" t="e">
        <f>IF(VLOOKUP($A28,값!$A:$W,MATCH(Main!N$1,값!$2:$2,0),0)="",NA(),VLOOKUP($A28,값!$A:$W,MATCH(Main!N$1,값!$2:$2,0),0))</f>
        <v>#N/A</v>
      </c>
      <c r="O28" s="12" t="e">
        <f>IF(VLOOKUP($A28,값!$A:$W,MATCH(Main!O$1,값!$2:$2,0),0)="",NA(),VLOOKUP($A28,값!$A:$W,MATCH(Main!O$1,값!$2:$2,0),0))</f>
        <v>#N/A</v>
      </c>
      <c r="P28" s="12" t="e">
        <f>IF(VLOOKUP($A28,값!$A:$W,MATCH(Main!P$1,값!$2:$2,0),0)="",NA(),VLOOKUP($A28,값!$A:$W,MATCH(Main!P$1,값!$2:$2,0),0))</f>
        <v>#N/A</v>
      </c>
      <c r="Q28" s="12">
        <f>IF(VLOOKUP($A28,값!$A:$W,MATCH(Main!Q$1,값!$2:$2,0),0)="",NA(),VLOOKUP($A28,값!$A:$W,MATCH(Main!Q$1,값!$2:$2,0),0))</f>
        <v>9.9186139928044925E-2</v>
      </c>
      <c r="R28" s="12" t="e">
        <f>IF(VLOOKUP($A28,값!$A:$W,MATCH(Main!R$1,값!$2:$2,0),0)="",NA(),VLOOKUP($A28,값!$A:$W,MATCH(Main!R$1,값!$2:$2,0),0))</f>
        <v>#N/A</v>
      </c>
      <c r="S28" s="12" t="e">
        <f>IF(VLOOKUP($A28,값!$A:$W,MATCH(Main!S$1,값!$2:$2,0),0)="",NA(),VLOOKUP($A28,값!$A:$W,MATCH(Main!S$1,값!$2:$2,0),0))</f>
        <v>#N/A</v>
      </c>
      <c r="T28" s="12" t="e">
        <f>IF(VLOOKUP($A28,값!$A:$W,MATCH(Main!T$1,값!$2:$2,0),0)="",NA(),VLOOKUP($A28,값!$A:$W,MATCH(Main!T$1,값!$2:$2,0),0))</f>
        <v>#N/A</v>
      </c>
      <c r="U28" s="12" t="e">
        <f>IF(VLOOKUP($A28,값!$A:$W,MATCH(Main!U$1,값!$2:$2,0),0)="",NA(),VLOOKUP($A28,값!$A:$W,MATCH(Main!U$1,값!$2:$2,0),0))</f>
        <v>#N/A</v>
      </c>
      <c r="V28" s="12" t="e">
        <f>IF(VLOOKUP($A28,값!$A:$W,MATCH(Main!V$1,값!$2:$2,0),0)="",NA(),VLOOKUP($A28,값!$A:$W,MATCH(Main!V$1,값!$2:$2,0),0))</f>
        <v>#N/A</v>
      </c>
    </row>
    <row r="29" spans="1:22" x14ac:dyDescent="0.2">
      <c r="A29" s="1">
        <v>39082</v>
      </c>
      <c r="B29" s="12">
        <f>IF(VLOOKUP($A29,값!$A:$W,MATCH(Main!B$1,값!$2:$2,0),0)="",NA(),VLOOKUP($A29,값!$A:$W,MATCH(Main!B$1,값!$2:$2,0),0))</f>
        <v>0.17560000000000001</v>
      </c>
      <c r="C29" s="12">
        <f>IF(VLOOKUP($A29,값!$A:$W,MATCH(Main!C$1,값!$2:$2,0),0)="",NA(),VLOOKUP($A29,값!$A:$W,MATCH(Main!C$1,값!$2:$2,0),0))</f>
        <v>9.1399999999999995E-2</v>
      </c>
      <c r="D29" s="12">
        <f>IF(VLOOKUP($A29,값!$A:$W,MATCH(Main!D$1,값!$2:$2,0),0)="",NA(),VLOOKUP($A29,값!$A:$W,MATCH(Main!D$1,값!$2:$2,0),0))</f>
        <v>9.1399999999999995E-2</v>
      </c>
      <c r="E29" s="12">
        <f>IF(VLOOKUP($A29,값!$A:$W,MATCH(Main!E$1,값!$2:$2,0),0)="",NA(),VLOOKUP($A29,값!$A:$W,MATCH(Main!E$1,값!$2:$2,0),0))</f>
        <v>0.1077</v>
      </c>
      <c r="F29" s="12">
        <f>IF(VLOOKUP($A29,값!$A:$W,MATCH(Main!F$1,값!$2:$2,0),0)="",NA(),VLOOKUP($A29,값!$A:$W,MATCH(Main!F$1,값!$2:$2,0),0))</f>
        <v>6.9599999999999995E-2</v>
      </c>
      <c r="G29" s="12">
        <f>IF(VLOOKUP($A29,값!$A:$W,MATCH(Main!G$1,값!$2:$2,0),0)="",NA(),VLOOKUP($A29,값!$A:$W,MATCH(Main!G$1,값!$2:$2,0),0))</f>
        <v>0.1077</v>
      </c>
      <c r="H29" s="12" t="e">
        <f>IF(VLOOKUP($A29,값!$A:$W,MATCH(Main!H$1,값!$2:$2,0),0)="",NA(),VLOOKUP($A29,값!$A:$W,MATCH(Main!H$1,값!$2:$2,0),0))</f>
        <v>#N/A</v>
      </c>
      <c r="I29" s="12">
        <f>IF(VLOOKUP($A29,값!$A:$W,MATCH(Main!I$1,값!$2:$2,0),0)="",NA(),VLOOKUP($A29,값!$A:$W,MATCH(Main!I$1,값!$2:$2,0),0))</f>
        <v>7.6399999999999996E-2</v>
      </c>
      <c r="J29" s="12">
        <f>IF(VLOOKUP($A29,값!$A:$W,MATCH(Main!J$1,값!$2:$2,0),0)="",NA(),VLOOKUP($A29,값!$A:$W,MATCH(Main!J$1,값!$2:$2,0),0))</f>
        <v>0.1133</v>
      </c>
      <c r="K29" s="12">
        <f>IF(VLOOKUP($A29,값!$A:$W,MATCH(Main!K$1,값!$2:$2,0),0)="",NA(),VLOOKUP($A29,값!$A:$W,MATCH(Main!K$1,값!$2:$2,0),0))</f>
        <v>3.9354702216877868E-2</v>
      </c>
      <c r="L29" s="12" t="e">
        <f>IF(VLOOKUP($A29,값!$A:$W,MATCH(Main!L$1,값!$2:$2,0),0)="",NA(),VLOOKUP($A29,값!$A:$W,MATCH(Main!L$1,값!$2:$2,0),0))</f>
        <v>#N/A</v>
      </c>
      <c r="M29" s="12">
        <f>IF(VLOOKUP($A29,값!$A:$W,MATCH(Main!M$1,값!$2:$2,0),0)="",NA(),VLOOKUP($A29,값!$A:$W,MATCH(Main!M$1,값!$2:$2,0),0))</f>
        <v>0.17580000000000001</v>
      </c>
      <c r="N29" s="12" t="e">
        <f>IF(VLOOKUP($A29,값!$A:$W,MATCH(Main!N$1,값!$2:$2,0),0)="",NA(),VLOOKUP($A29,값!$A:$W,MATCH(Main!N$1,값!$2:$2,0),0))</f>
        <v>#N/A</v>
      </c>
      <c r="O29" s="12" t="e">
        <f>IF(VLOOKUP($A29,값!$A:$W,MATCH(Main!O$1,값!$2:$2,0),0)="",NA(),VLOOKUP($A29,값!$A:$W,MATCH(Main!O$1,값!$2:$2,0),0))</f>
        <v>#N/A</v>
      </c>
      <c r="P29" s="12" t="e">
        <f>IF(VLOOKUP($A29,값!$A:$W,MATCH(Main!P$1,값!$2:$2,0),0)="",NA(),VLOOKUP($A29,값!$A:$W,MATCH(Main!P$1,값!$2:$2,0),0))</f>
        <v>#N/A</v>
      </c>
      <c r="Q29" s="12">
        <f>IF(VLOOKUP($A29,값!$A:$W,MATCH(Main!Q$1,값!$2:$2,0),0)="",NA(),VLOOKUP($A29,값!$A:$W,MATCH(Main!Q$1,값!$2:$2,0),0))</f>
        <v>0.1404002720171853</v>
      </c>
      <c r="R29" s="12">
        <f>IF(VLOOKUP($A29,값!$A:$W,MATCH(Main!R$1,값!$2:$2,0),0)="",NA(),VLOOKUP($A29,값!$A:$W,MATCH(Main!R$1,값!$2:$2,0),0))</f>
        <v>-4.07E-2</v>
      </c>
      <c r="S29" s="12">
        <f>IF(VLOOKUP($A29,값!$A:$W,MATCH(Main!S$1,값!$2:$2,0),0)="",NA(),VLOOKUP($A29,값!$A:$W,MATCH(Main!S$1,값!$2:$2,0),0))</f>
        <v>-4.07E-2</v>
      </c>
      <c r="T29" s="12">
        <f>IF(VLOOKUP($A29,값!$A:$W,MATCH(Main!T$1,값!$2:$2,0),0)="",NA(),VLOOKUP($A29,값!$A:$W,MATCH(Main!T$1,값!$2:$2,0),0))</f>
        <v>-4.07E-2</v>
      </c>
      <c r="U29" s="12">
        <f>IF(VLOOKUP($A29,값!$A:$W,MATCH(Main!U$1,값!$2:$2,0),0)="",NA(),VLOOKUP($A29,값!$A:$W,MATCH(Main!U$1,값!$2:$2,0),0))</f>
        <v>-4.07E-2</v>
      </c>
      <c r="V29" s="12" t="e">
        <f>IF(VLOOKUP($A29,값!$A:$W,MATCH(Main!V$1,값!$2:$2,0),0)="",NA(),VLOOKUP($A29,값!$A:$W,MATCH(Main!V$1,값!$2:$2,0),0))</f>
        <v>#N/A</v>
      </c>
    </row>
    <row r="30" spans="1:22" x14ac:dyDescent="0.2">
      <c r="A30" s="1">
        <v>39172</v>
      </c>
      <c r="B30" s="12">
        <f>IF(VLOOKUP($A30,값!$A:$W,MATCH(Main!B$1,값!$2:$2,0),0)="",NA(),VLOOKUP($A30,값!$A:$W,MATCH(Main!B$1,값!$2:$2,0),0))</f>
        <v>5.4300000000000001E-2</v>
      </c>
      <c r="C30" s="12">
        <f>IF(VLOOKUP($A30,값!$A:$W,MATCH(Main!C$1,값!$2:$2,0),0)="",NA(),VLOOKUP($A30,값!$A:$W,MATCH(Main!C$1,값!$2:$2,0),0))</f>
        <v>1.15E-2</v>
      </c>
      <c r="D30" s="12">
        <f>IF(VLOOKUP($A30,값!$A:$W,MATCH(Main!D$1,값!$2:$2,0),0)="",NA(),VLOOKUP($A30,값!$A:$W,MATCH(Main!D$1,값!$2:$2,0),0))</f>
        <v>1.15E-2</v>
      </c>
      <c r="E30" s="12">
        <f>IF(VLOOKUP($A30,값!$A:$W,MATCH(Main!E$1,값!$2:$2,0),0)="",NA(),VLOOKUP($A30,값!$A:$W,MATCH(Main!E$1,값!$2:$2,0),0))</f>
        <v>3.6400000000000002E-2</v>
      </c>
      <c r="F30" s="12">
        <f>IF(VLOOKUP($A30,값!$A:$W,MATCH(Main!F$1,값!$2:$2,0),0)="",NA(),VLOOKUP($A30,값!$A:$W,MATCH(Main!F$1,값!$2:$2,0),0))</f>
        <v>4.2000000000000003E-2</v>
      </c>
      <c r="G30" s="12">
        <f>IF(VLOOKUP($A30,값!$A:$W,MATCH(Main!G$1,값!$2:$2,0),0)="",NA(),VLOOKUP($A30,값!$A:$W,MATCH(Main!G$1,값!$2:$2,0),0))</f>
        <v>3.6400000000000002E-2</v>
      </c>
      <c r="H30" s="12" t="e">
        <f>IF(VLOOKUP($A30,값!$A:$W,MATCH(Main!H$1,값!$2:$2,0),0)="",NA(),VLOOKUP($A30,값!$A:$W,MATCH(Main!H$1,값!$2:$2,0),0))</f>
        <v>#N/A</v>
      </c>
      <c r="I30" s="12">
        <f>IF(VLOOKUP($A30,값!$A:$W,MATCH(Main!I$1,값!$2:$2,0),0)="",NA(),VLOOKUP($A30,값!$A:$W,MATCH(Main!I$1,값!$2:$2,0),0))</f>
        <v>4.7399999999999998E-2</v>
      </c>
      <c r="J30" s="12">
        <f>IF(VLOOKUP($A30,값!$A:$W,MATCH(Main!J$1,값!$2:$2,0),0)="",NA(),VLOOKUP($A30,값!$A:$W,MATCH(Main!J$1,값!$2:$2,0),0))</f>
        <v>4.1099999999999998E-2</v>
      </c>
      <c r="K30" s="12">
        <f>IF(VLOOKUP($A30,값!$A:$W,MATCH(Main!K$1,값!$2:$2,0),0)="",NA(),VLOOKUP($A30,값!$A:$W,MATCH(Main!K$1,값!$2:$2,0),0))</f>
        <v>3.1239625914147195E-2</v>
      </c>
      <c r="L30" s="12" t="e">
        <f>IF(VLOOKUP($A30,값!$A:$W,MATCH(Main!L$1,값!$2:$2,0),0)="",NA(),VLOOKUP($A30,값!$A:$W,MATCH(Main!L$1,값!$2:$2,0),0))</f>
        <v>#N/A</v>
      </c>
      <c r="M30" s="12">
        <f>IF(VLOOKUP($A30,값!$A:$W,MATCH(Main!M$1,값!$2:$2,0),0)="",NA(),VLOOKUP($A30,값!$A:$W,MATCH(Main!M$1,값!$2:$2,0),0))</f>
        <v>0.1033</v>
      </c>
      <c r="N30" s="12" t="e">
        <f>IF(VLOOKUP($A30,값!$A:$W,MATCH(Main!N$1,값!$2:$2,0),0)="",NA(),VLOOKUP($A30,값!$A:$W,MATCH(Main!N$1,값!$2:$2,0),0))</f>
        <v>#N/A</v>
      </c>
      <c r="O30" s="12" t="e">
        <f>IF(VLOOKUP($A30,값!$A:$W,MATCH(Main!O$1,값!$2:$2,0),0)="",NA(),VLOOKUP($A30,값!$A:$W,MATCH(Main!O$1,값!$2:$2,0),0))</f>
        <v>#N/A</v>
      </c>
      <c r="P30" s="12" t="e">
        <f>IF(VLOOKUP($A30,값!$A:$W,MATCH(Main!P$1,값!$2:$2,0),0)="",NA(),VLOOKUP($A30,값!$A:$W,MATCH(Main!P$1,값!$2:$2,0),0))</f>
        <v>#N/A</v>
      </c>
      <c r="Q30" s="12">
        <f>IF(VLOOKUP($A30,값!$A:$W,MATCH(Main!Q$1,값!$2:$2,0),0)="",NA(),VLOOKUP($A30,값!$A:$W,MATCH(Main!Q$1,값!$2:$2,0),0))</f>
        <v>6.222622245505316E-2</v>
      </c>
      <c r="R30" s="12">
        <f>IF(VLOOKUP($A30,값!$A:$W,MATCH(Main!R$1,값!$2:$2,0),0)="",NA(),VLOOKUP($A30,값!$A:$W,MATCH(Main!R$1,값!$2:$2,0),0))</f>
        <v>5.4000000000000003E-3</v>
      </c>
      <c r="S30" s="12">
        <f>IF(VLOOKUP($A30,값!$A:$W,MATCH(Main!S$1,값!$2:$2,0),0)="",NA(),VLOOKUP($A30,값!$A:$W,MATCH(Main!S$1,값!$2:$2,0),0))</f>
        <v>5.4000000000000003E-3</v>
      </c>
      <c r="T30" s="12">
        <f>IF(VLOOKUP($A30,값!$A:$W,MATCH(Main!T$1,값!$2:$2,0),0)="",NA(),VLOOKUP($A30,값!$A:$W,MATCH(Main!T$1,값!$2:$2,0),0))</f>
        <v>5.4000000000000003E-3</v>
      </c>
      <c r="U30" s="12">
        <f>IF(VLOOKUP($A30,값!$A:$W,MATCH(Main!U$1,값!$2:$2,0),0)="",NA(),VLOOKUP($A30,값!$A:$W,MATCH(Main!U$1,값!$2:$2,0),0))</f>
        <v>5.4000000000000003E-3</v>
      </c>
      <c r="V30" s="12" t="e">
        <f>IF(VLOOKUP($A30,값!$A:$W,MATCH(Main!V$1,값!$2:$2,0),0)="",NA(),VLOOKUP($A30,값!$A:$W,MATCH(Main!V$1,값!$2:$2,0),0))</f>
        <v>#N/A</v>
      </c>
    </row>
    <row r="31" spans="1:22" x14ac:dyDescent="0.2">
      <c r="A31" s="1">
        <v>39263</v>
      </c>
      <c r="B31" s="12">
        <f>IF(VLOOKUP($A31,값!$A:$W,MATCH(Main!B$1,값!$2:$2,0),0)="",NA(),VLOOKUP($A31,값!$A:$W,MATCH(Main!B$1,값!$2:$2,0),0))</f>
        <v>0.11169999999999999</v>
      </c>
      <c r="C31" s="12">
        <f>IF(VLOOKUP($A31,값!$A:$W,MATCH(Main!C$1,값!$2:$2,0),0)="",NA(),VLOOKUP($A31,값!$A:$W,MATCH(Main!C$1,값!$2:$2,0),0))</f>
        <v>7.8899999999999998E-2</v>
      </c>
      <c r="D31" s="12">
        <f>IF(VLOOKUP($A31,값!$A:$W,MATCH(Main!D$1,값!$2:$2,0),0)="",NA(),VLOOKUP($A31,값!$A:$W,MATCH(Main!D$1,값!$2:$2,0),0))</f>
        <v>7.8899999999999998E-2</v>
      </c>
      <c r="E31" s="12">
        <f>IF(VLOOKUP($A31,값!$A:$W,MATCH(Main!E$1,값!$2:$2,0),0)="",NA(),VLOOKUP($A31,값!$A:$W,MATCH(Main!E$1,값!$2:$2,0),0))</f>
        <v>6.7199999999999996E-2</v>
      </c>
      <c r="F31" s="12">
        <f>IF(VLOOKUP($A31,값!$A:$W,MATCH(Main!F$1,값!$2:$2,0),0)="",NA(),VLOOKUP($A31,값!$A:$W,MATCH(Main!F$1,값!$2:$2,0),0))</f>
        <v>6.4100000000000004E-2</v>
      </c>
      <c r="G31" s="12">
        <f>IF(VLOOKUP($A31,값!$A:$W,MATCH(Main!G$1,값!$2:$2,0),0)="",NA(),VLOOKUP($A31,값!$A:$W,MATCH(Main!G$1,값!$2:$2,0),0))</f>
        <v>6.7199999999999996E-2</v>
      </c>
      <c r="H31" s="12" t="e">
        <f>IF(VLOOKUP($A31,값!$A:$W,MATCH(Main!H$1,값!$2:$2,0),0)="",NA(),VLOOKUP($A31,값!$A:$W,MATCH(Main!H$1,값!$2:$2,0),0))</f>
        <v>#N/A</v>
      </c>
      <c r="I31" s="12">
        <f>IF(VLOOKUP($A31,값!$A:$W,MATCH(Main!I$1,값!$2:$2,0),0)="",NA(),VLOOKUP($A31,값!$A:$W,MATCH(Main!I$1,값!$2:$2,0),0))</f>
        <v>5.8599999999999999E-2</v>
      </c>
      <c r="J31" s="12">
        <f>IF(VLOOKUP($A31,값!$A:$W,MATCH(Main!J$1,값!$2:$2,0),0)="",NA(),VLOOKUP($A31,값!$A:$W,MATCH(Main!J$1,값!$2:$2,0),0))</f>
        <v>0.16309999999999999</v>
      </c>
      <c r="K31" s="12">
        <f>IF(VLOOKUP($A31,값!$A:$W,MATCH(Main!K$1,값!$2:$2,0),0)="",NA(),VLOOKUP($A31,값!$A:$W,MATCH(Main!K$1,값!$2:$2,0),0))</f>
        <v>3.294097254299877E-2</v>
      </c>
      <c r="L31" s="12" t="e">
        <f>IF(VLOOKUP($A31,값!$A:$W,MATCH(Main!L$1,값!$2:$2,0),0)="",NA(),VLOOKUP($A31,값!$A:$W,MATCH(Main!L$1,값!$2:$2,0),0))</f>
        <v>#N/A</v>
      </c>
      <c r="M31" s="12">
        <f>IF(VLOOKUP($A31,값!$A:$W,MATCH(Main!M$1,값!$2:$2,0),0)="",NA(),VLOOKUP($A31,값!$A:$W,MATCH(Main!M$1,값!$2:$2,0),0))</f>
        <v>5.2299999999999999E-2</v>
      </c>
      <c r="N31" s="12" t="e">
        <f>IF(VLOOKUP($A31,값!$A:$W,MATCH(Main!N$1,값!$2:$2,0),0)="",NA(),VLOOKUP($A31,값!$A:$W,MATCH(Main!N$1,값!$2:$2,0),0))</f>
        <v>#N/A</v>
      </c>
      <c r="O31" s="12" t="e">
        <f>IF(VLOOKUP($A31,값!$A:$W,MATCH(Main!O$1,값!$2:$2,0),0)="",NA(),VLOOKUP($A31,값!$A:$W,MATCH(Main!O$1,값!$2:$2,0),0))</f>
        <v>#N/A</v>
      </c>
      <c r="P31" s="12" t="e">
        <f>IF(VLOOKUP($A31,값!$A:$W,MATCH(Main!P$1,값!$2:$2,0),0)="",NA(),VLOOKUP($A31,값!$A:$W,MATCH(Main!P$1,값!$2:$2,0),0))</f>
        <v>#N/A</v>
      </c>
      <c r="Q31" s="12">
        <f>IF(VLOOKUP($A31,값!$A:$W,MATCH(Main!Q$1,값!$2:$2,0),0)="",NA(),VLOOKUP($A31,값!$A:$W,MATCH(Main!Q$1,값!$2:$2,0),0))</f>
        <v>-5.8512745311503855E-2</v>
      </c>
      <c r="R31" s="12">
        <f>IF(VLOOKUP($A31,값!$A:$W,MATCH(Main!R$1,값!$2:$2,0),0)="",NA(),VLOOKUP($A31,값!$A:$W,MATCH(Main!R$1,값!$2:$2,0),0))</f>
        <v>3.44E-2</v>
      </c>
      <c r="S31" s="12">
        <f>IF(VLOOKUP($A31,값!$A:$W,MATCH(Main!S$1,값!$2:$2,0),0)="",NA(),VLOOKUP($A31,값!$A:$W,MATCH(Main!S$1,값!$2:$2,0),0))</f>
        <v>3.44E-2</v>
      </c>
      <c r="T31" s="12">
        <f>IF(VLOOKUP($A31,값!$A:$W,MATCH(Main!T$1,값!$2:$2,0),0)="",NA(),VLOOKUP($A31,값!$A:$W,MATCH(Main!T$1,값!$2:$2,0),0))</f>
        <v>3.44E-2</v>
      </c>
      <c r="U31" s="12">
        <f>IF(VLOOKUP($A31,값!$A:$W,MATCH(Main!U$1,값!$2:$2,0),0)="",NA(),VLOOKUP($A31,값!$A:$W,MATCH(Main!U$1,값!$2:$2,0),0))</f>
        <v>3.44E-2</v>
      </c>
      <c r="V31" s="12" t="e">
        <f>IF(VLOOKUP($A31,값!$A:$W,MATCH(Main!V$1,값!$2:$2,0),0)="",NA(),VLOOKUP($A31,값!$A:$W,MATCH(Main!V$1,값!$2:$2,0),0))</f>
        <v>#N/A</v>
      </c>
    </row>
    <row r="32" spans="1:22" x14ac:dyDescent="0.2">
      <c r="A32" s="1">
        <v>39355</v>
      </c>
      <c r="B32" s="12">
        <f>IF(VLOOKUP($A32,값!$A:$W,MATCH(Main!B$1,값!$2:$2,0),0)="",NA(),VLOOKUP($A32,값!$A:$W,MATCH(Main!B$1,값!$2:$2,0),0))</f>
        <v>2.8299999999999999E-2</v>
      </c>
      <c r="C32" s="12">
        <f>IF(VLOOKUP($A32,값!$A:$W,MATCH(Main!C$1,값!$2:$2,0),0)="",NA(),VLOOKUP($A32,값!$A:$W,MATCH(Main!C$1,값!$2:$2,0),0))</f>
        <v>2.3599999999999999E-2</v>
      </c>
      <c r="D32" s="12">
        <f>IF(VLOOKUP($A32,값!$A:$W,MATCH(Main!D$1,값!$2:$2,0),0)="",NA(),VLOOKUP($A32,값!$A:$W,MATCH(Main!D$1,값!$2:$2,0),0))</f>
        <v>2.3599999999999999E-2</v>
      </c>
      <c r="E32" s="12">
        <f>IF(VLOOKUP($A32,값!$A:$W,MATCH(Main!E$1,값!$2:$2,0),0)="",NA(),VLOOKUP($A32,값!$A:$W,MATCH(Main!E$1,값!$2:$2,0),0))</f>
        <v>7.9500000000000001E-2</v>
      </c>
      <c r="F32" s="12">
        <f>IF(VLOOKUP($A32,값!$A:$W,MATCH(Main!F$1,값!$2:$2,0),0)="",NA(),VLOOKUP($A32,값!$A:$W,MATCH(Main!F$1,값!$2:$2,0),0))</f>
        <v>4.99E-2</v>
      </c>
      <c r="G32" s="12">
        <f>IF(VLOOKUP($A32,값!$A:$W,MATCH(Main!G$1,값!$2:$2,0),0)="",NA(),VLOOKUP($A32,값!$A:$W,MATCH(Main!G$1,값!$2:$2,0),0))</f>
        <v>7.9500000000000001E-2</v>
      </c>
      <c r="H32" s="12" t="e">
        <f>IF(VLOOKUP($A32,값!$A:$W,MATCH(Main!H$1,값!$2:$2,0),0)="",NA(),VLOOKUP($A32,값!$A:$W,MATCH(Main!H$1,값!$2:$2,0),0))</f>
        <v>#N/A</v>
      </c>
      <c r="I32" s="12">
        <f>IF(VLOOKUP($A32,값!$A:$W,MATCH(Main!I$1,값!$2:$2,0),0)="",NA(),VLOOKUP($A32,값!$A:$W,MATCH(Main!I$1,값!$2:$2,0),0))</f>
        <v>-8.3000000000000001E-3</v>
      </c>
      <c r="J32" s="12">
        <f>IF(VLOOKUP($A32,값!$A:$W,MATCH(Main!J$1,값!$2:$2,0),0)="",NA(),VLOOKUP($A32,값!$A:$W,MATCH(Main!J$1,값!$2:$2,0),0))</f>
        <v>7.9899999999999999E-2</v>
      </c>
      <c r="K32" s="12">
        <f>IF(VLOOKUP($A32,값!$A:$W,MATCH(Main!K$1,값!$2:$2,0),0)="",NA(),VLOOKUP($A32,값!$A:$W,MATCH(Main!K$1,값!$2:$2,0),0))</f>
        <v>-4.4834015025503327E-3</v>
      </c>
      <c r="L32" s="12" t="e">
        <f>IF(VLOOKUP($A32,값!$A:$W,MATCH(Main!L$1,값!$2:$2,0),0)="",NA(),VLOOKUP($A32,값!$A:$W,MATCH(Main!L$1,값!$2:$2,0),0))</f>
        <v>#N/A</v>
      </c>
      <c r="M32" s="12">
        <f>IF(VLOOKUP($A32,값!$A:$W,MATCH(Main!M$1,값!$2:$2,0),0)="",NA(),VLOOKUP($A32,값!$A:$W,MATCH(Main!M$1,값!$2:$2,0),0))</f>
        <v>-1.1999999999999999E-3</v>
      </c>
      <c r="N32" s="12" t="e">
        <f>IF(VLOOKUP($A32,값!$A:$W,MATCH(Main!N$1,값!$2:$2,0),0)="",NA(),VLOOKUP($A32,값!$A:$W,MATCH(Main!N$1,값!$2:$2,0),0))</f>
        <v>#N/A</v>
      </c>
      <c r="O32" s="12" t="e">
        <f>IF(VLOOKUP($A32,값!$A:$W,MATCH(Main!O$1,값!$2:$2,0),0)="",NA(),VLOOKUP($A32,값!$A:$W,MATCH(Main!O$1,값!$2:$2,0),0))</f>
        <v>#N/A</v>
      </c>
      <c r="P32" s="12" t="e">
        <f>IF(VLOOKUP($A32,값!$A:$W,MATCH(Main!P$1,값!$2:$2,0),0)="",NA(),VLOOKUP($A32,값!$A:$W,MATCH(Main!P$1,값!$2:$2,0),0))</f>
        <v>#N/A</v>
      </c>
      <c r="Q32" s="12">
        <f>IF(VLOOKUP($A32,값!$A:$W,MATCH(Main!Q$1,값!$2:$2,0),0)="",NA(),VLOOKUP($A32,값!$A:$W,MATCH(Main!Q$1,값!$2:$2,0),0))</f>
        <v>3.6556754919279788E-2</v>
      </c>
      <c r="R32" s="12">
        <f>IF(VLOOKUP($A32,값!$A:$W,MATCH(Main!R$1,값!$2:$2,0),0)="",NA(),VLOOKUP($A32,값!$A:$W,MATCH(Main!R$1,값!$2:$2,0),0))</f>
        <v>2.0000000000000001E-4</v>
      </c>
      <c r="S32" s="12">
        <f>IF(VLOOKUP($A32,값!$A:$W,MATCH(Main!S$1,값!$2:$2,0),0)="",NA(),VLOOKUP($A32,값!$A:$W,MATCH(Main!S$1,값!$2:$2,0),0))</f>
        <v>2.0000000000000001E-4</v>
      </c>
      <c r="T32" s="12">
        <f>IF(VLOOKUP($A32,값!$A:$W,MATCH(Main!T$1,값!$2:$2,0),0)="",NA(),VLOOKUP($A32,값!$A:$W,MATCH(Main!T$1,값!$2:$2,0),0))</f>
        <v>2.0000000000000001E-4</v>
      </c>
      <c r="U32" s="12">
        <f>IF(VLOOKUP($A32,값!$A:$W,MATCH(Main!U$1,값!$2:$2,0),0)="",NA(),VLOOKUP($A32,값!$A:$W,MATCH(Main!U$1,값!$2:$2,0),0))</f>
        <v>2.0000000000000001E-4</v>
      </c>
      <c r="V32" s="12" t="e">
        <f>IF(VLOOKUP($A32,값!$A:$W,MATCH(Main!V$1,값!$2:$2,0),0)="",NA(),VLOOKUP($A32,값!$A:$W,MATCH(Main!V$1,값!$2:$2,0),0))</f>
        <v>#N/A</v>
      </c>
    </row>
    <row r="33" spans="1:22" x14ac:dyDescent="0.2">
      <c r="A33" s="1">
        <v>39447</v>
      </c>
      <c r="B33" s="12">
        <f>IF(VLOOKUP($A33,값!$A:$W,MATCH(Main!B$1,값!$2:$2,0),0)="",NA(),VLOOKUP($A33,값!$A:$W,MATCH(Main!B$1,값!$2:$2,0),0))</f>
        <v>3.6900000000000002E-2</v>
      </c>
      <c r="C33" s="12">
        <f>IF(VLOOKUP($A33,값!$A:$W,MATCH(Main!C$1,값!$2:$2,0),0)="",NA(),VLOOKUP($A33,값!$A:$W,MATCH(Main!C$1,값!$2:$2,0),0))</f>
        <v>3.8600000000000002E-2</v>
      </c>
      <c r="D33" s="12">
        <f>IF(VLOOKUP($A33,값!$A:$W,MATCH(Main!D$1,값!$2:$2,0),0)="",NA(),VLOOKUP($A33,값!$A:$W,MATCH(Main!D$1,값!$2:$2,0),0))</f>
        <v>3.8600000000000002E-2</v>
      </c>
      <c r="E33" s="12">
        <f>IF(VLOOKUP($A33,값!$A:$W,MATCH(Main!E$1,값!$2:$2,0),0)="",NA(),VLOOKUP($A33,값!$A:$W,MATCH(Main!E$1,값!$2:$2,0),0))</f>
        <v>5.2299999999999999E-2</v>
      </c>
      <c r="F33" s="12">
        <f>IF(VLOOKUP($A33,값!$A:$W,MATCH(Main!F$1,값!$2:$2,0),0)="",NA(),VLOOKUP($A33,값!$A:$W,MATCH(Main!F$1,값!$2:$2,0),0))</f>
        <v>5.62E-2</v>
      </c>
      <c r="G33" s="12">
        <f>IF(VLOOKUP($A33,값!$A:$W,MATCH(Main!G$1,값!$2:$2,0),0)="",NA(),VLOOKUP($A33,값!$A:$W,MATCH(Main!G$1,값!$2:$2,0),0))</f>
        <v>5.2299999999999999E-2</v>
      </c>
      <c r="H33" s="12" t="e">
        <f>IF(VLOOKUP($A33,값!$A:$W,MATCH(Main!H$1,값!$2:$2,0),0)="",NA(),VLOOKUP($A33,값!$A:$W,MATCH(Main!H$1,값!$2:$2,0),0))</f>
        <v>#N/A</v>
      </c>
      <c r="I33" s="12">
        <f>IF(VLOOKUP($A33,값!$A:$W,MATCH(Main!I$1,값!$2:$2,0),0)="",NA(),VLOOKUP($A33,값!$A:$W,MATCH(Main!I$1,값!$2:$2,0),0))</f>
        <v>-3.5099999999999999E-2</v>
      </c>
      <c r="J33" s="12">
        <f>IF(VLOOKUP($A33,값!$A:$W,MATCH(Main!J$1,값!$2:$2,0),0)="",NA(),VLOOKUP($A33,값!$A:$W,MATCH(Main!J$1,값!$2:$2,0),0))</f>
        <v>0.1033</v>
      </c>
      <c r="K33" s="12">
        <f>IF(VLOOKUP($A33,값!$A:$W,MATCH(Main!K$1,값!$2:$2,0),0)="",NA(),VLOOKUP($A33,값!$A:$W,MATCH(Main!K$1,값!$2:$2,0),0))</f>
        <v>1.5416412157709614E-2</v>
      </c>
      <c r="L33" s="12" t="e">
        <f>IF(VLOOKUP($A33,값!$A:$W,MATCH(Main!L$1,값!$2:$2,0),0)="",NA(),VLOOKUP($A33,값!$A:$W,MATCH(Main!L$1,값!$2:$2,0),0))</f>
        <v>#N/A</v>
      </c>
      <c r="M33" s="12">
        <f>IF(VLOOKUP($A33,값!$A:$W,MATCH(Main!M$1,값!$2:$2,0),0)="",NA(),VLOOKUP($A33,값!$A:$W,MATCH(Main!M$1,값!$2:$2,0),0))</f>
        <v>7.4999999999999997E-3</v>
      </c>
      <c r="N33" s="12" t="e">
        <f>IF(VLOOKUP($A33,값!$A:$W,MATCH(Main!N$1,값!$2:$2,0),0)="",NA(),VLOOKUP($A33,값!$A:$W,MATCH(Main!N$1,값!$2:$2,0),0))</f>
        <v>#N/A</v>
      </c>
      <c r="O33" s="12" t="e">
        <f>IF(VLOOKUP($A33,값!$A:$W,MATCH(Main!O$1,값!$2:$2,0),0)="",NA(),VLOOKUP($A33,값!$A:$W,MATCH(Main!O$1,값!$2:$2,0),0))</f>
        <v>#N/A</v>
      </c>
      <c r="P33" s="12" t="e">
        <f>IF(VLOOKUP($A33,값!$A:$W,MATCH(Main!P$1,값!$2:$2,0),0)="",NA(),VLOOKUP($A33,값!$A:$W,MATCH(Main!P$1,값!$2:$2,0),0))</f>
        <v>#N/A</v>
      </c>
      <c r="Q33" s="12">
        <f>IF(VLOOKUP($A33,값!$A:$W,MATCH(Main!Q$1,값!$2:$2,0),0)="",NA(),VLOOKUP($A33,값!$A:$W,MATCH(Main!Q$1,값!$2:$2,0),0))</f>
        <v>-0.1024585096259818</v>
      </c>
      <c r="R33" s="12">
        <f>IF(VLOOKUP($A33,값!$A:$W,MATCH(Main!R$1,값!$2:$2,0),0)="",NA(),VLOOKUP($A33,값!$A:$W,MATCH(Main!R$1,값!$2:$2,0),0))</f>
        <v>9.6699999999999994E-2</v>
      </c>
      <c r="S33" s="12">
        <f>IF(VLOOKUP($A33,값!$A:$W,MATCH(Main!S$1,값!$2:$2,0),0)="",NA(),VLOOKUP($A33,값!$A:$W,MATCH(Main!S$1,값!$2:$2,0),0))</f>
        <v>9.6699999999999994E-2</v>
      </c>
      <c r="T33" s="12">
        <f>IF(VLOOKUP($A33,값!$A:$W,MATCH(Main!T$1,값!$2:$2,0),0)="",NA(),VLOOKUP($A33,값!$A:$W,MATCH(Main!T$1,값!$2:$2,0),0))</f>
        <v>9.6699999999999994E-2</v>
      </c>
      <c r="U33" s="12">
        <f>IF(VLOOKUP($A33,값!$A:$W,MATCH(Main!U$1,값!$2:$2,0),0)="",NA(),VLOOKUP($A33,값!$A:$W,MATCH(Main!U$1,값!$2:$2,0),0))</f>
        <v>9.6699999999999994E-2</v>
      </c>
      <c r="V33" s="12" t="e">
        <f>IF(VLOOKUP($A33,값!$A:$W,MATCH(Main!V$1,값!$2:$2,0),0)="",NA(),VLOOKUP($A33,값!$A:$W,MATCH(Main!V$1,값!$2:$2,0),0))</f>
        <v>#N/A</v>
      </c>
    </row>
    <row r="34" spans="1:22" x14ac:dyDescent="0.2">
      <c r="A34" s="1">
        <v>39538</v>
      </c>
      <c r="B34" s="12">
        <f>IF(VLOOKUP($A34,값!$A:$W,MATCH(Main!B$1,값!$2:$2,0),0)="",NA(),VLOOKUP($A34,값!$A:$W,MATCH(Main!B$1,값!$2:$2,0),0))</f>
        <v>3.5000000000000001E-3</v>
      </c>
      <c r="C34" s="12">
        <f>IF(VLOOKUP($A34,값!$A:$W,MATCH(Main!C$1,값!$2:$2,0),0)="",NA(),VLOOKUP($A34,값!$A:$W,MATCH(Main!C$1,값!$2:$2,0),0))</f>
        <v>-1.3599999999999999E-2</v>
      </c>
      <c r="D34" s="12">
        <f>IF(VLOOKUP($A34,값!$A:$W,MATCH(Main!D$1,값!$2:$2,0),0)="",NA(),VLOOKUP($A34,값!$A:$W,MATCH(Main!D$1,값!$2:$2,0),0))</f>
        <v>-1.3599999999999999E-2</v>
      </c>
      <c r="E34" s="12">
        <f>IF(VLOOKUP($A34,값!$A:$W,MATCH(Main!E$1,값!$2:$2,0),0)="",NA(),VLOOKUP($A34,값!$A:$W,MATCH(Main!E$1,값!$2:$2,0),0))</f>
        <v>1.17E-2</v>
      </c>
      <c r="F34" s="12">
        <f>IF(VLOOKUP($A34,값!$A:$W,MATCH(Main!F$1,값!$2:$2,0),0)="",NA(),VLOOKUP($A34,값!$A:$W,MATCH(Main!F$1,값!$2:$2,0),0))</f>
        <v>7.1000000000000004E-3</v>
      </c>
      <c r="G34" s="12">
        <f>IF(VLOOKUP($A34,값!$A:$W,MATCH(Main!G$1,값!$2:$2,0),0)="",NA(),VLOOKUP($A34,값!$A:$W,MATCH(Main!G$1,값!$2:$2,0),0))</f>
        <v>1.17E-2</v>
      </c>
      <c r="H34" s="12" t="e">
        <f>IF(VLOOKUP($A34,값!$A:$W,MATCH(Main!H$1,값!$2:$2,0),0)="",NA(),VLOOKUP($A34,값!$A:$W,MATCH(Main!H$1,값!$2:$2,0),0))</f>
        <v>#N/A</v>
      </c>
      <c r="I34" s="12">
        <f>IF(VLOOKUP($A34,값!$A:$W,MATCH(Main!I$1,값!$2:$2,0),0)="",NA(),VLOOKUP($A34,값!$A:$W,MATCH(Main!I$1,값!$2:$2,0),0))</f>
        <v>-3.73E-2</v>
      </c>
      <c r="J34" s="12">
        <f>IF(VLOOKUP($A34,값!$A:$W,MATCH(Main!J$1,값!$2:$2,0),0)="",NA(),VLOOKUP($A34,값!$A:$W,MATCH(Main!J$1,값!$2:$2,0),0))</f>
        <v>-7.5600000000000001E-2</v>
      </c>
      <c r="K34" s="12">
        <f>IF(VLOOKUP($A34,값!$A:$W,MATCH(Main!K$1,값!$2:$2,0),0)="",NA(),VLOOKUP($A34,값!$A:$W,MATCH(Main!K$1,값!$2:$2,0),0))</f>
        <v>-2.8564398677963121E-2</v>
      </c>
      <c r="L34" s="12">
        <f>IF(VLOOKUP($A34,값!$A:$W,MATCH(Main!L$1,값!$2:$2,0),0)="",NA(),VLOOKUP($A34,값!$A:$W,MATCH(Main!L$1,값!$2:$2,0),0))</f>
        <v>1.3174E-2</v>
      </c>
      <c r="M34" s="12">
        <f>IF(VLOOKUP($A34,값!$A:$W,MATCH(Main!M$1,값!$2:$2,0),0)="",NA(),VLOOKUP($A34,값!$A:$W,MATCH(Main!M$1,값!$2:$2,0),0))</f>
        <v>1.43E-2</v>
      </c>
      <c r="N34" s="12">
        <f>IF(VLOOKUP($A34,값!$A:$W,MATCH(Main!N$1,값!$2:$2,0),0)="",NA(),VLOOKUP($A34,값!$A:$W,MATCH(Main!N$1,값!$2:$2,0),0))</f>
        <v>1.3174E-2</v>
      </c>
      <c r="O34" s="12" t="e">
        <f>IF(VLOOKUP($A34,값!$A:$W,MATCH(Main!O$1,값!$2:$2,0),0)="",NA(),VLOOKUP($A34,값!$A:$W,MATCH(Main!O$1,값!$2:$2,0),0))</f>
        <v>#N/A</v>
      </c>
      <c r="P34" s="12" t="e">
        <f>IF(VLOOKUP($A34,값!$A:$W,MATCH(Main!P$1,값!$2:$2,0),0)="",NA(),VLOOKUP($A34,값!$A:$W,MATCH(Main!P$1,값!$2:$2,0),0))</f>
        <v>#N/A</v>
      </c>
      <c r="Q34" s="12">
        <f>IF(VLOOKUP($A34,값!$A:$W,MATCH(Main!Q$1,값!$2:$2,0),0)="",NA(),VLOOKUP($A34,값!$A:$W,MATCH(Main!Q$1,값!$2:$2,0),0))</f>
        <v>-5.6292640267387006E-2</v>
      </c>
      <c r="R34" s="12">
        <f>IF(VLOOKUP($A34,값!$A:$W,MATCH(Main!R$1,값!$2:$2,0),0)="",NA(),VLOOKUP($A34,값!$A:$W,MATCH(Main!R$1,값!$2:$2,0),0))</f>
        <v>3.5400000000000001E-2</v>
      </c>
      <c r="S34" s="12">
        <f>IF(VLOOKUP($A34,값!$A:$W,MATCH(Main!S$1,값!$2:$2,0),0)="",NA(),VLOOKUP($A34,값!$A:$W,MATCH(Main!S$1,값!$2:$2,0),0))</f>
        <v>3.5400000000000001E-2</v>
      </c>
      <c r="T34" s="12">
        <f>IF(VLOOKUP($A34,값!$A:$W,MATCH(Main!T$1,값!$2:$2,0),0)="",NA(),VLOOKUP($A34,값!$A:$W,MATCH(Main!T$1,값!$2:$2,0),0))</f>
        <v>3.5400000000000001E-2</v>
      </c>
      <c r="U34" s="12">
        <f>IF(VLOOKUP($A34,값!$A:$W,MATCH(Main!U$1,값!$2:$2,0),0)="",NA(),VLOOKUP($A34,값!$A:$W,MATCH(Main!U$1,값!$2:$2,0),0))</f>
        <v>3.5400000000000001E-2</v>
      </c>
      <c r="V34" s="12" t="e">
        <f>IF(VLOOKUP($A34,값!$A:$W,MATCH(Main!V$1,값!$2:$2,0),0)="",NA(),VLOOKUP($A34,값!$A:$W,MATCH(Main!V$1,값!$2:$2,0),0))</f>
        <v>#N/A</v>
      </c>
    </row>
    <row r="35" spans="1:22" x14ac:dyDescent="0.2">
      <c r="A35" s="1">
        <v>39629</v>
      </c>
      <c r="B35" s="12">
        <f>IF(VLOOKUP($A35,값!$A:$W,MATCH(Main!B$1,값!$2:$2,0),0)="",NA(),VLOOKUP($A35,값!$A:$W,MATCH(Main!B$1,값!$2:$2,0),0))</f>
        <v>-1.5900000000000001E-2</v>
      </c>
      <c r="C35" s="12">
        <f>IF(VLOOKUP($A35,값!$A:$W,MATCH(Main!C$1,값!$2:$2,0),0)="",NA(),VLOOKUP($A35,값!$A:$W,MATCH(Main!C$1,값!$2:$2,0),0))</f>
        <v>-5.7000000000000002E-3</v>
      </c>
      <c r="D35" s="12">
        <f>IF(VLOOKUP($A35,값!$A:$W,MATCH(Main!D$1,값!$2:$2,0),0)="",NA(),VLOOKUP($A35,값!$A:$W,MATCH(Main!D$1,값!$2:$2,0),0))</f>
        <v>-5.7000000000000002E-3</v>
      </c>
      <c r="E35" s="12">
        <f>IF(VLOOKUP($A35,값!$A:$W,MATCH(Main!E$1,값!$2:$2,0),0)="",NA(),VLOOKUP($A35,값!$A:$W,MATCH(Main!E$1,값!$2:$2,0),0))</f>
        <v>-6.4999999999999997E-3</v>
      </c>
      <c r="F35" s="12">
        <f>IF(VLOOKUP($A35,값!$A:$W,MATCH(Main!F$1,값!$2:$2,0),0)="",NA(),VLOOKUP($A35,값!$A:$W,MATCH(Main!F$1,값!$2:$2,0),0))</f>
        <v>-8.3000000000000001E-3</v>
      </c>
      <c r="G35" s="12">
        <f>IF(VLOOKUP($A35,값!$A:$W,MATCH(Main!G$1,값!$2:$2,0),0)="",NA(),VLOOKUP($A35,값!$A:$W,MATCH(Main!G$1,값!$2:$2,0),0))</f>
        <v>-6.4999999999999997E-3</v>
      </c>
      <c r="H35" s="12" t="e">
        <f>IF(VLOOKUP($A35,값!$A:$W,MATCH(Main!H$1,값!$2:$2,0),0)="",NA(),VLOOKUP($A35,값!$A:$W,MATCH(Main!H$1,값!$2:$2,0),0))</f>
        <v>#N/A</v>
      </c>
      <c r="I35" s="12">
        <f>IF(VLOOKUP($A35,값!$A:$W,MATCH(Main!I$1,값!$2:$2,0),0)="",NA(),VLOOKUP($A35,값!$A:$W,MATCH(Main!I$1,값!$2:$2,0),0))</f>
        <v>4.3499999999999997E-2</v>
      </c>
      <c r="J35" s="12">
        <f>IF(VLOOKUP($A35,값!$A:$W,MATCH(Main!J$1,값!$2:$2,0),0)="",NA(),VLOOKUP($A35,값!$A:$W,MATCH(Main!J$1,값!$2:$2,0),0))</f>
        <v>-4.1099999999999998E-2</v>
      </c>
      <c r="K35" s="12">
        <f>IF(VLOOKUP($A35,값!$A:$W,MATCH(Main!K$1,값!$2:$2,0),0)="",NA(),VLOOKUP($A35,값!$A:$W,MATCH(Main!K$1,값!$2:$2,0),0))</f>
        <v>1.6810446917893129E-2</v>
      </c>
      <c r="L35" s="12">
        <f>IF(VLOOKUP($A35,값!$A:$W,MATCH(Main!L$1,값!$2:$2,0),0)="",NA(),VLOOKUP($A35,값!$A:$W,MATCH(Main!L$1,값!$2:$2,0),0))</f>
        <v>6.6600000000000001E-3</v>
      </c>
      <c r="M35" s="12">
        <f>IF(VLOOKUP($A35,값!$A:$W,MATCH(Main!M$1,값!$2:$2,0),0)="",NA(),VLOOKUP($A35,값!$A:$W,MATCH(Main!M$1,값!$2:$2,0),0))</f>
        <v>-2.3900000000000001E-2</v>
      </c>
      <c r="N35" s="12">
        <f>IF(VLOOKUP($A35,값!$A:$W,MATCH(Main!N$1,값!$2:$2,0),0)="",NA(),VLOOKUP($A35,값!$A:$W,MATCH(Main!N$1,값!$2:$2,0),0))</f>
        <v>6.6600000000000001E-3</v>
      </c>
      <c r="O35" s="12" t="e">
        <f>IF(VLOOKUP($A35,값!$A:$W,MATCH(Main!O$1,값!$2:$2,0),0)="",NA(),VLOOKUP($A35,값!$A:$W,MATCH(Main!O$1,값!$2:$2,0),0))</f>
        <v>#N/A</v>
      </c>
      <c r="P35" s="12" t="e">
        <f>IF(VLOOKUP($A35,값!$A:$W,MATCH(Main!P$1,값!$2:$2,0),0)="",NA(),VLOOKUP($A35,값!$A:$W,MATCH(Main!P$1,값!$2:$2,0),0))</f>
        <v>#N/A</v>
      </c>
      <c r="Q35" s="12">
        <f>IF(VLOOKUP($A35,값!$A:$W,MATCH(Main!Q$1,값!$2:$2,0),0)="",NA(),VLOOKUP($A35,값!$A:$W,MATCH(Main!Q$1,값!$2:$2,0),0))</f>
        <v>-8.5597679481564604E-2</v>
      </c>
      <c r="R35" s="12">
        <f>IF(VLOOKUP($A35,값!$A:$W,MATCH(Main!R$1,값!$2:$2,0),0)="",NA(),VLOOKUP($A35,값!$A:$W,MATCH(Main!R$1,값!$2:$2,0),0))</f>
        <v>3.0800000000000001E-2</v>
      </c>
      <c r="S35" s="12">
        <f>IF(VLOOKUP($A35,값!$A:$W,MATCH(Main!S$1,값!$2:$2,0),0)="",NA(),VLOOKUP($A35,값!$A:$W,MATCH(Main!S$1,값!$2:$2,0),0))</f>
        <v>3.0800000000000001E-2</v>
      </c>
      <c r="T35" s="12">
        <f>IF(VLOOKUP($A35,값!$A:$W,MATCH(Main!T$1,값!$2:$2,0),0)="",NA(),VLOOKUP($A35,값!$A:$W,MATCH(Main!T$1,값!$2:$2,0),0))</f>
        <v>3.0800000000000001E-2</v>
      </c>
      <c r="U35" s="12">
        <f>IF(VLOOKUP($A35,값!$A:$W,MATCH(Main!U$1,값!$2:$2,0),0)="",NA(),VLOOKUP($A35,값!$A:$W,MATCH(Main!U$1,값!$2:$2,0),0))</f>
        <v>3.0800000000000001E-2</v>
      </c>
      <c r="V35" s="12" t="e">
        <f>IF(VLOOKUP($A35,값!$A:$W,MATCH(Main!V$1,값!$2:$2,0),0)="",NA(),VLOOKUP($A35,값!$A:$W,MATCH(Main!V$1,값!$2:$2,0),0))</f>
        <v>#N/A</v>
      </c>
    </row>
    <row r="36" spans="1:22" x14ac:dyDescent="0.2">
      <c r="A36" s="1">
        <v>39721</v>
      </c>
      <c r="B36" s="12">
        <f>IF(VLOOKUP($A36,값!$A:$W,MATCH(Main!B$1,값!$2:$2,0),0)="",NA(),VLOOKUP($A36,값!$A:$W,MATCH(Main!B$1,값!$2:$2,0),0))</f>
        <v>-0.1017</v>
      </c>
      <c r="C36" s="12">
        <f>IF(VLOOKUP($A36,값!$A:$W,MATCH(Main!C$1,값!$2:$2,0),0)="",NA(),VLOOKUP($A36,값!$A:$W,MATCH(Main!C$1,값!$2:$2,0),0))</f>
        <v>-0.03</v>
      </c>
      <c r="D36" s="12">
        <f>IF(VLOOKUP($A36,값!$A:$W,MATCH(Main!D$1,값!$2:$2,0),0)="",NA(),VLOOKUP($A36,값!$A:$W,MATCH(Main!D$1,값!$2:$2,0),0))</f>
        <v>-0.03</v>
      </c>
      <c r="E36" s="12">
        <f>IF(VLOOKUP($A36,값!$A:$W,MATCH(Main!E$1,값!$2:$2,0),0)="",NA(),VLOOKUP($A36,값!$A:$W,MATCH(Main!E$1,값!$2:$2,0),0))</f>
        <v>-3.39E-2</v>
      </c>
      <c r="F36" s="12">
        <f>IF(VLOOKUP($A36,값!$A:$W,MATCH(Main!F$1,값!$2:$2,0),0)="",NA(),VLOOKUP($A36,값!$A:$W,MATCH(Main!F$1,값!$2:$2,0),0))</f>
        <v>-7.0300000000000001E-2</v>
      </c>
      <c r="G36" s="12">
        <f>IF(VLOOKUP($A36,값!$A:$W,MATCH(Main!G$1,값!$2:$2,0),0)="",NA(),VLOOKUP($A36,값!$A:$W,MATCH(Main!G$1,값!$2:$2,0),0))</f>
        <v>-3.39E-2</v>
      </c>
      <c r="H36" s="12" t="e">
        <f>IF(VLOOKUP($A36,값!$A:$W,MATCH(Main!H$1,값!$2:$2,0),0)="",NA(),VLOOKUP($A36,값!$A:$W,MATCH(Main!H$1,값!$2:$2,0),0))</f>
        <v>#N/A</v>
      </c>
      <c r="I36" s="12">
        <f>IF(VLOOKUP($A36,값!$A:$W,MATCH(Main!I$1,값!$2:$2,0),0)="",NA(),VLOOKUP($A36,값!$A:$W,MATCH(Main!I$1,값!$2:$2,0),0))</f>
        <v>-0.13250000000000001</v>
      </c>
      <c r="J36" s="12">
        <f>IF(VLOOKUP($A36,값!$A:$W,MATCH(Main!J$1,값!$2:$2,0),0)="",NA(),VLOOKUP($A36,값!$A:$W,MATCH(Main!J$1,값!$2:$2,0),0))</f>
        <v>-9.0899999999999995E-2</v>
      </c>
      <c r="K36" s="12">
        <f>IF(VLOOKUP($A36,값!$A:$W,MATCH(Main!K$1,값!$2:$2,0),0)="",NA(),VLOOKUP($A36,값!$A:$W,MATCH(Main!K$1,값!$2:$2,0),0))</f>
        <v>-8.3556744310494091E-2</v>
      </c>
      <c r="L36" s="12">
        <f>IF(VLOOKUP($A36,값!$A:$W,MATCH(Main!L$1,값!$2:$2,0),0)="",NA(),VLOOKUP($A36,값!$A:$W,MATCH(Main!L$1,값!$2:$2,0),0))</f>
        <v>-7.9067999999999999E-2</v>
      </c>
      <c r="M36" s="12">
        <f>IF(VLOOKUP($A36,값!$A:$W,MATCH(Main!M$1,값!$2:$2,0),0)="",NA(),VLOOKUP($A36,값!$A:$W,MATCH(Main!M$1,값!$2:$2,0),0))</f>
        <v>-9.9500000000000005E-2</v>
      </c>
      <c r="N36" s="12">
        <f>IF(VLOOKUP($A36,값!$A:$W,MATCH(Main!N$1,값!$2:$2,0),0)="",NA(),VLOOKUP($A36,값!$A:$W,MATCH(Main!N$1,값!$2:$2,0),0))</f>
        <v>-7.9067999999999999E-2</v>
      </c>
      <c r="O36" s="12" t="e">
        <f>IF(VLOOKUP($A36,값!$A:$W,MATCH(Main!O$1,값!$2:$2,0),0)="",NA(),VLOOKUP($A36,값!$A:$W,MATCH(Main!O$1,값!$2:$2,0),0))</f>
        <v>#N/A</v>
      </c>
      <c r="P36" s="12" t="e">
        <f>IF(VLOOKUP($A36,값!$A:$W,MATCH(Main!P$1,값!$2:$2,0),0)="",NA(),VLOOKUP($A36,값!$A:$W,MATCH(Main!P$1,값!$2:$2,0),0))</f>
        <v>#N/A</v>
      </c>
      <c r="Q36" s="12">
        <f>IF(VLOOKUP($A36,값!$A:$W,MATCH(Main!Q$1,값!$2:$2,0),0)="",NA(),VLOOKUP($A36,값!$A:$W,MATCH(Main!Q$1,값!$2:$2,0),0))</f>
        <v>-0.10410578558289663</v>
      </c>
      <c r="R36" s="12">
        <f>IF(VLOOKUP($A36,값!$A:$W,MATCH(Main!R$1,값!$2:$2,0),0)="",NA(),VLOOKUP($A36,값!$A:$W,MATCH(Main!R$1,값!$2:$2,0),0))</f>
        <v>-9.2200000000000004E-2</v>
      </c>
      <c r="S36" s="12">
        <f>IF(VLOOKUP($A36,값!$A:$W,MATCH(Main!S$1,값!$2:$2,0),0)="",NA(),VLOOKUP($A36,값!$A:$W,MATCH(Main!S$1,값!$2:$2,0),0))</f>
        <v>-9.2200000000000004E-2</v>
      </c>
      <c r="T36" s="12">
        <f>IF(VLOOKUP($A36,값!$A:$W,MATCH(Main!T$1,값!$2:$2,0),0)="",NA(),VLOOKUP($A36,값!$A:$W,MATCH(Main!T$1,값!$2:$2,0),0))</f>
        <v>-9.2200000000000004E-2</v>
      </c>
      <c r="U36" s="12">
        <f>IF(VLOOKUP($A36,값!$A:$W,MATCH(Main!U$1,값!$2:$2,0),0)="",NA(),VLOOKUP($A36,값!$A:$W,MATCH(Main!U$1,값!$2:$2,0),0))</f>
        <v>-9.2200000000000004E-2</v>
      </c>
      <c r="V36" s="12" t="e">
        <f>IF(VLOOKUP($A36,값!$A:$W,MATCH(Main!V$1,값!$2:$2,0),0)="",NA(),VLOOKUP($A36,값!$A:$W,MATCH(Main!V$1,값!$2:$2,0),0))</f>
        <v>#N/A</v>
      </c>
    </row>
    <row r="37" spans="1:22" x14ac:dyDescent="0.2">
      <c r="A37" s="1">
        <v>39813</v>
      </c>
      <c r="B37" s="12">
        <f>IF(VLOOKUP($A37,값!$A:$W,MATCH(Main!B$1,값!$2:$2,0),0)="",NA(),VLOOKUP($A37,값!$A:$W,MATCH(Main!B$1,값!$2:$2,0),0))</f>
        <v>-0.18870000000000001</v>
      </c>
      <c r="C37" s="12">
        <f>IF(VLOOKUP($A37,값!$A:$W,MATCH(Main!C$1,값!$2:$2,0),0)="",NA(),VLOOKUP($A37,값!$A:$W,MATCH(Main!C$1,값!$2:$2,0),0))</f>
        <v>-0.1139</v>
      </c>
      <c r="D37" s="12">
        <f>IF(VLOOKUP($A37,값!$A:$W,MATCH(Main!D$1,값!$2:$2,0),0)="",NA(),VLOOKUP($A37,값!$A:$W,MATCH(Main!D$1,값!$2:$2,0),0))</f>
        <v>-0.1139</v>
      </c>
      <c r="E37" s="12">
        <f>IF(VLOOKUP($A37,값!$A:$W,MATCH(Main!E$1,값!$2:$2,0),0)="",NA(),VLOOKUP($A37,값!$A:$W,MATCH(Main!E$1,값!$2:$2,0),0))</f>
        <v>-0.161</v>
      </c>
      <c r="F37" s="12">
        <f>IF(VLOOKUP($A37,값!$A:$W,MATCH(Main!F$1,값!$2:$2,0),0)="",NA(),VLOOKUP($A37,값!$A:$W,MATCH(Main!F$1,값!$2:$2,0),0))</f>
        <v>-0.14349999999999999</v>
      </c>
      <c r="G37" s="12">
        <f>IF(VLOOKUP($A37,값!$A:$W,MATCH(Main!G$1,값!$2:$2,0),0)="",NA(),VLOOKUP($A37,값!$A:$W,MATCH(Main!G$1,값!$2:$2,0),0))</f>
        <v>-0.161</v>
      </c>
      <c r="H37" s="12" t="e">
        <f>IF(VLOOKUP($A37,값!$A:$W,MATCH(Main!H$1,값!$2:$2,0),0)="",NA(),VLOOKUP($A37,값!$A:$W,MATCH(Main!H$1,값!$2:$2,0),0))</f>
        <v>#N/A</v>
      </c>
      <c r="I37" s="12">
        <f>IF(VLOOKUP($A37,값!$A:$W,MATCH(Main!I$1,값!$2:$2,0),0)="",NA(),VLOOKUP($A37,값!$A:$W,MATCH(Main!I$1,값!$2:$2,0),0))</f>
        <v>-0.19819999999999999</v>
      </c>
      <c r="J37" s="12">
        <f>IF(VLOOKUP($A37,값!$A:$W,MATCH(Main!J$1,값!$2:$2,0),0)="",NA(),VLOOKUP($A37,값!$A:$W,MATCH(Main!J$1,값!$2:$2,0),0))</f>
        <v>-0.17380000000000001</v>
      </c>
      <c r="K37" s="12">
        <f>IF(VLOOKUP($A37,값!$A:$W,MATCH(Main!K$1,값!$2:$2,0),0)="",NA(),VLOOKUP($A37,값!$A:$W,MATCH(Main!K$1,값!$2:$2,0),0))</f>
        <v>-0.11474975817177868</v>
      </c>
      <c r="L37" s="12">
        <f>IF(VLOOKUP($A37,값!$A:$W,MATCH(Main!L$1,값!$2:$2,0),0)="",NA(),VLOOKUP($A37,값!$A:$W,MATCH(Main!L$1,값!$2:$2,0),0))</f>
        <v>-0.15496499999999999</v>
      </c>
      <c r="M37" s="12">
        <f>IF(VLOOKUP($A37,값!$A:$W,MATCH(Main!M$1,값!$2:$2,0),0)="",NA(),VLOOKUP($A37,값!$A:$W,MATCH(Main!M$1,값!$2:$2,0),0))</f>
        <v>-0.26900000000000002</v>
      </c>
      <c r="N37" s="12">
        <f>IF(VLOOKUP($A37,값!$A:$W,MATCH(Main!N$1,값!$2:$2,0),0)="",NA(),VLOOKUP($A37,값!$A:$W,MATCH(Main!N$1,값!$2:$2,0),0))</f>
        <v>-0.15496499999999999</v>
      </c>
      <c r="O37" s="12" t="e">
        <f>IF(VLOOKUP($A37,값!$A:$W,MATCH(Main!O$1,값!$2:$2,0),0)="",NA(),VLOOKUP($A37,값!$A:$W,MATCH(Main!O$1,값!$2:$2,0),0))</f>
        <v>#N/A</v>
      </c>
      <c r="P37" s="12" t="e">
        <f>IF(VLOOKUP($A37,값!$A:$W,MATCH(Main!P$1,값!$2:$2,0),0)="",NA(),VLOOKUP($A37,값!$A:$W,MATCH(Main!P$1,값!$2:$2,0),0))</f>
        <v>#N/A</v>
      </c>
      <c r="Q37" s="12">
        <f>IF(VLOOKUP($A37,값!$A:$W,MATCH(Main!Q$1,값!$2:$2,0),0)="",NA(),VLOOKUP($A37,값!$A:$W,MATCH(Main!Q$1,값!$2:$2,0),0))</f>
        <v>-0.32378532080237399</v>
      </c>
      <c r="R37" s="12">
        <f>IF(VLOOKUP($A37,값!$A:$W,MATCH(Main!R$1,값!$2:$2,0),0)="",NA(),VLOOKUP($A37,값!$A:$W,MATCH(Main!R$1,값!$2:$2,0),0))</f>
        <v>-0.10829999999999999</v>
      </c>
      <c r="S37" s="12">
        <f>IF(VLOOKUP($A37,값!$A:$W,MATCH(Main!S$1,값!$2:$2,0),0)="",NA(),VLOOKUP($A37,값!$A:$W,MATCH(Main!S$1,값!$2:$2,0),0))</f>
        <v>-0.10829999999999999</v>
      </c>
      <c r="T37" s="12">
        <f>IF(VLOOKUP($A37,값!$A:$W,MATCH(Main!T$1,값!$2:$2,0),0)="",NA(),VLOOKUP($A37,값!$A:$W,MATCH(Main!T$1,값!$2:$2,0),0))</f>
        <v>-0.10829999999999999</v>
      </c>
      <c r="U37" s="12">
        <f>IF(VLOOKUP($A37,값!$A:$W,MATCH(Main!U$1,값!$2:$2,0),0)="",NA(),VLOOKUP($A37,값!$A:$W,MATCH(Main!U$1,값!$2:$2,0),0))</f>
        <v>-0.10829999999999999</v>
      </c>
      <c r="V37" s="12" t="e">
        <f>IF(VLOOKUP($A37,값!$A:$W,MATCH(Main!V$1,값!$2:$2,0),0)="",NA(),VLOOKUP($A37,값!$A:$W,MATCH(Main!V$1,값!$2:$2,0),0))</f>
        <v>#N/A</v>
      </c>
    </row>
    <row r="38" spans="1:22" x14ac:dyDescent="0.2">
      <c r="A38" s="1">
        <v>39903</v>
      </c>
      <c r="B38" s="12">
        <f>IF(VLOOKUP($A38,값!$A:$W,MATCH(Main!B$1,값!$2:$2,0),0)="",NA(),VLOOKUP($A38,값!$A:$W,MATCH(Main!B$1,값!$2:$2,0),0))</f>
        <v>-4.7699999999999999E-2</v>
      </c>
      <c r="C38" s="12">
        <f>IF(VLOOKUP($A38,값!$A:$W,MATCH(Main!C$1,값!$2:$2,0),0)="",NA(),VLOOKUP($A38,값!$A:$W,MATCH(Main!C$1,값!$2:$2,0),0))</f>
        <v>-2.53E-2</v>
      </c>
      <c r="D38" s="12">
        <f>IF(VLOOKUP($A38,값!$A:$W,MATCH(Main!D$1,값!$2:$2,0),0)="",NA(),VLOOKUP($A38,값!$A:$W,MATCH(Main!D$1,값!$2:$2,0),0))</f>
        <v>-2.53E-2</v>
      </c>
      <c r="E38" s="12">
        <f>IF(VLOOKUP($A38,값!$A:$W,MATCH(Main!E$1,값!$2:$2,0),0)="",NA(),VLOOKUP($A38,값!$A:$W,MATCH(Main!E$1,값!$2:$2,0),0))</f>
        <v>-2.8199999999999999E-2</v>
      </c>
      <c r="F38" s="12">
        <f>IF(VLOOKUP($A38,값!$A:$W,MATCH(Main!F$1,값!$2:$2,0),0)="",NA(),VLOOKUP($A38,값!$A:$W,MATCH(Main!F$1,값!$2:$2,0),0))</f>
        <v>-4.2099999999999999E-2</v>
      </c>
      <c r="G38" s="12">
        <f>IF(VLOOKUP($A38,값!$A:$W,MATCH(Main!G$1,값!$2:$2,0),0)="",NA(),VLOOKUP($A38,값!$A:$W,MATCH(Main!G$1,값!$2:$2,0),0))</f>
        <v>-2.8199999999999999E-2</v>
      </c>
      <c r="H38" s="12" t="e">
        <f>IF(VLOOKUP($A38,값!$A:$W,MATCH(Main!H$1,값!$2:$2,0),0)="",NA(),VLOOKUP($A38,값!$A:$W,MATCH(Main!H$1,값!$2:$2,0),0))</f>
        <v>#N/A</v>
      </c>
      <c r="I38" s="12">
        <f>IF(VLOOKUP($A38,값!$A:$W,MATCH(Main!I$1,값!$2:$2,0),0)="",NA(),VLOOKUP($A38,값!$A:$W,MATCH(Main!I$1,값!$2:$2,0),0))</f>
        <v>-4.2599999999999999E-2</v>
      </c>
      <c r="J38" s="12">
        <f>IF(VLOOKUP($A38,값!$A:$W,MATCH(Main!J$1,값!$2:$2,0),0)="",NA(),VLOOKUP($A38,값!$A:$W,MATCH(Main!J$1,값!$2:$2,0),0))</f>
        <v>-3.8E-3</v>
      </c>
      <c r="K38" s="12">
        <f>IF(VLOOKUP($A38,값!$A:$W,MATCH(Main!K$1,값!$2:$2,0),0)="",NA(),VLOOKUP($A38,값!$A:$W,MATCH(Main!K$1,값!$2:$2,0),0))</f>
        <v>7.0823460381517211E-3</v>
      </c>
      <c r="L38" s="12">
        <f>IF(VLOOKUP($A38,값!$A:$W,MATCH(Main!L$1,값!$2:$2,0),0)="",NA(),VLOOKUP($A38,값!$A:$W,MATCH(Main!L$1,값!$2:$2,0),0))</f>
        <v>-0.11186500000000001</v>
      </c>
      <c r="M38" s="12">
        <f>IF(VLOOKUP($A38,값!$A:$W,MATCH(Main!M$1,값!$2:$2,0),0)="",NA(),VLOOKUP($A38,값!$A:$W,MATCH(Main!M$1,값!$2:$2,0),0))</f>
        <v>-0.11559999999999999</v>
      </c>
      <c r="N38" s="12">
        <f>IF(VLOOKUP($A38,값!$A:$W,MATCH(Main!N$1,값!$2:$2,0),0)="",NA(),VLOOKUP($A38,값!$A:$W,MATCH(Main!N$1,값!$2:$2,0),0))</f>
        <v>-0.11186500000000001</v>
      </c>
      <c r="O38" s="12" t="e">
        <f>IF(VLOOKUP($A38,값!$A:$W,MATCH(Main!O$1,값!$2:$2,0),0)="",NA(),VLOOKUP($A38,값!$A:$W,MATCH(Main!O$1,값!$2:$2,0),0))</f>
        <v>#N/A</v>
      </c>
      <c r="P38" s="12" t="e">
        <f>IF(VLOOKUP($A38,값!$A:$W,MATCH(Main!P$1,값!$2:$2,0),0)="",NA(),VLOOKUP($A38,값!$A:$W,MATCH(Main!P$1,값!$2:$2,0),0))</f>
        <v>#N/A</v>
      </c>
      <c r="Q38" s="12">
        <f>IF(VLOOKUP($A38,값!$A:$W,MATCH(Main!Q$1,값!$2:$2,0),0)="",NA(),VLOOKUP($A38,값!$A:$W,MATCH(Main!Q$1,값!$2:$2,0),0))</f>
        <v>-0.2209459536876841</v>
      </c>
      <c r="R38" s="12">
        <f>IF(VLOOKUP($A38,값!$A:$W,MATCH(Main!R$1,값!$2:$2,0),0)="",NA(),VLOOKUP($A38,값!$A:$W,MATCH(Main!R$1,값!$2:$2,0),0))</f>
        <v>-7.0599999999999996E-2</v>
      </c>
      <c r="S38" s="12">
        <f>IF(VLOOKUP($A38,값!$A:$W,MATCH(Main!S$1,값!$2:$2,0),0)="",NA(),VLOOKUP($A38,값!$A:$W,MATCH(Main!S$1,값!$2:$2,0),0))</f>
        <v>-7.0599999999999996E-2</v>
      </c>
      <c r="T38" s="12">
        <f>IF(VLOOKUP($A38,값!$A:$W,MATCH(Main!T$1,값!$2:$2,0),0)="",NA(),VLOOKUP($A38,값!$A:$W,MATCH(Main!T$1,값!$2:$2,0),0))</f>
        <v>-7.0599999999999996E-2</v>
      </c>
      <c r="U38" s="12">
        <f>IF(VLOOKUP($A38,값!$A:$W,MATCH(Main!U$1,값!$2:$2,0),0)="",NA(),VLOOKUP($A38,값!$A:$W,MATCH(Main!U$1,값!$2:$2,0),0))</f>
        <v>-7.0599999999999996E-2</v>
      </c>
      <c r="V38" s="12" t="e">
        <f>IF(VLOOKUP($A38,값!$A:$W,MATCH(Main!V$1,값!$2:$2,0),0)="",NA(),VLOOKUP($A38,값!$A:$W,MATCH(Main!V$1,값!$2:$2,0),0))</f>
        <v>#N/A</v>
      </c>
    </row>
    <row r="39" spans="1:22" x14ac:dyDescent="0.2">
      <c r="A39" s="1">
        <v>39994</v>
      </c>
      <c r="B39" s="12">
        <f>IF(VLOOKUP($A39,값!$A:$W,MATCH(Main!B$1,값!$2:$2,0),0)="",NA(),VLOOKUP($A39,값!$A:$W,MATCH(Main!B$1,값!$2:$2,0),0))</f>
        <v>5.3699999999999998E-2</v>
      </c>
      <c r="C39" s="12">
        <f>IF(VLOOKUP($A39,값!$A:$W,MATCH(Main!C$1,값!$2:$2,0),0)="",NA(),VLOOKUP($A39,값!$A:$W,MATCH(Main!C$1,값!$2:$2,0),0))</f>
        <v>1.15E-2</v>
      </c>
      <c r="D39" s="12">
        <f>IF(VLOOKUP($A39,값!$A:$W,MATCH(Main!D$1,값!$2:$2,0),0)="",NA(),VLOOKUP($A39,값!$A:$W,MATCH(Main!D$1,값!$2:$2,0),0))</f>
        <v>1.15E-2</v>
      </c>
      <c r="E39" s="12">
        <f>IF(VLOOKUP($A39,값!$A:$W,MATCH(Main!E$1,값!$2:$2,0),0)="",NA(),VLOOKUP($A39,값!$A:$W,MATCH(Main!E$1,값!$2:$2,0),0))</f>
        <v>-2.4199999999999999E-2</v>
      </c>
      <c r="F39" s="12">
        <f>IF(VLOOKUP($A39,값!$A:$W,MATCH(Main!F$1,값!$2:$2,0),0)="",NA(),VLOOKUP($A39,값!$A:$W,MATCH(Main!F$1,값!$2:$2,0),0))</f>
        <v>-1.1599999999999999E-2</v>
      </c>
      <c r="G39" s="12">
        <f>IF(VLOOKUP($A39,값!$A:$W,MATCH(Main!G$1,값!$2:$2,0),0)="",NA(),VLOOKUP($A39,값!$A:$W,MATCH(Main!G$1,값!$2:$2,0),0))</f>
        <v>-2.4199999999999999E-2</v>
      </c>
      <c r="H39" s="12" t="e">
        <f>IF(VLOOKUP($A39,값!$A:$W,MATCH(Main!H$1,값!$2:$2,0),0)="",NA(),VLOOKUP($A39,값!$A:$W,MATCH(Main!H$1,값!$2:$2,0),0))</f>
        <v>#N/A</v>
      </c>
      <c r="I39" s="12">
        <f>IF(VLOOKUP($A39,값!$A:$W,MATCH(Main!I$1,값!$2:$2,0),0)="",NA(),VLOOKUP($A39,값!$A:$W,MATCH(Main!I$1,값!$2:$2,0),0))</f>
        <v>0.27050000000000002</v>
      </c>
      <c r="J39" s="12">
        <f>IF(VLOOKUP($A39,값!$A:$W,MATCH(Main!J$1,값!$2:$2,0),0)="",NA(),VLOOKUP($A39,값!$A:$W,MATCH(Main!J$1,값!$2:$2,0),0))</f>
        <v>0.14799999999999999</v>
      </c>
      <c r="K39" s="12">
        <f>IF(VLOOKUP($A39,값!$A:$W,MATCH(Main!K$1,값!$2:$2,0),0)="",NA(),VLOOKUP($A39,값!$A:$W,MATCH(Main!K$1,값!$2:$2,0),0))</f>
        <v>3.8748050362802156E-2</v>
      </c>
      <c r="L39" s="12">
        <f>IF(VLOOKUP($A39,값!$A:$W,MATCH(Main!L$1,값!$2:$2,0),0)="",NA(),VLOOKUP($A39,값!$A:$W,MATCH(Main!L$1,값!$2:$2,0),0))</f>
        <v>-2.1385999999999999E-2</v>
      </c>
      <c r="M39" s="12">
        <f>IF(VLOOKUP($A39,값!$A:$W,MATCH(Main!M$1,값!$2:$2,0),0)="",NA(),VLOOKUP($A39,값!$A:$W,MATCH(Main!M$1,값!$2:$2,0),0))</f>
        <v>-0.1236</v>
      </c>
      <c r="N39" s="12">
        <f>IF(VLOOKUP($A39,값!$A:$W,MATCH(Main!N$1,값!$2:$2,0),0)="",NA(),VLOOKUP($A39,값!$A:$W,MATCH(Main!N$1,값!$2:$2,0),0))</f>
        <v>-2.1385999999999999E-2</v>
      </c>
      <c r="O39" s="12" t="e">
        <f>IF(VLOOKUP($A39,값!$A:$W,MATCH(Main!O$1,값!$2:$2,0),0)="",NA(),VLOOKUP($A39,값!$A:$W,MATCH(Main!O$1,값!$2:$2,0),0))</f>
        <v>#N/A</v>
      </c>
      <c r="P39" s="12" t="e">
        <f>IF(VLOOKUP($A39,값!$A:$W,MATCH(Main!P$1,값!$2:$2,0),0)="",NA(),VLOOKUP($A39,값!$A:$W,MATCH(Main!P$1,값!$2:$2,0),0))</f>
        <v>#N/A</v>
      </c>
      <c r="Q39" s="12">
        <f>IF(VLOOKUP($A39,값!$A:$W,MATCH(Main!Q$1,값!$2:$2,0),0)="",NA(),VLOOKUP($A39,값!$A:$W,MATCH(Main!Q$1,값!$2:$2,0),0))</f>
        <v>0.3590563803893021</v>
      </c>
      <c r="R39" s="12">
        <f>IF(VLOOKUP($A39,값!$A:$W,MATCH(Main!R$1,값!$2:$2,0),0)="",NA(),VLOOKUP($A39,값!$A:$W,MATCH(Main!R$1,값!$2:$2,0),0))</f>
        <v>4.0500000000000001E-2</v>
      </c>
      <c r="S39" s="12">
        <f>IF(VLOOKUP($A39,값!$A:$W,MATCH(Main!S$1,값!$2:$2,0),0)="",NA(),VLOOKUP($A39,값!$A:$W,MATCH(Main!S$1,값!$2:$2,0),0))</f>
        <v>4.0500000000000001E-2</v>
      </c>
      <c r="T39" s="12">
        <f>IF(VLOOKUP($A39,값!$A:$W,MATCH(Main!T$1,값!$2:$2,0),0)="",NA(),VLOOKUP($A39,값!$A:$W,MATCH(Main!T$1,값!$2:$2,0),0))</f>
        <v>4.0500000000000001E-2</v>
      </c>
      <c r="U39" s="12">
        <f>IF(VLOOKUP($A39,값!$A:$W,MATCH(Main!U$1,값!$2:$2,0),0)="",NA(),VLOOKUP($A39,값!$A:$W,MATCH(Main!U$1,값!$2:$2,0),0))</f>
        <v>4.0500000000000001E-2</v>
      </c>
      <c r="V39" s="12" t="e">
        <f>IF(VLOOKUP($A39,값!$A:$W,MATCH(Main!V$1,값!$2:$2,0),0)="",NA(),VLOOKUP($A39,값!$A:$W,MATCH(Main!V$1,값!$2:$2,0),0))</f>
        <v>#N/A</v>
      </c>
    </row>
    <row r="40" spans="1:22" x14ac:dyDescent="0.2">
      <c r="A40" s="1">
        <v>40086</v>
      </c>
      <c r="B40" s="12">
        <f>IF(VLOOKUP($A40,값!$A:$W,MATCH(Main!B$1,값!$2:$2,0),0)="",NA(),VLOOKUP($A40,값!$A:$W,MATCH(Main!B$1,값!$2:$2,0),0))</f>
        <v>7.9799999999999996E-2</v>
      </c>
      <c r="C40" s="12">
        <f>IF(VLOOKUP($A40,값!$A:$W,MATCH(Main!C$1,값!$2:$2,0),0)="",NA(),VLOOKUP($A40,값!$A:$W,MATCH(Main!C$1,값!$2:$2,0),0))</f>
        <v>1.7299999999999999E-2</v>
      </c>
      <c r="D40" s="12">
        <f>IF(VLOOKUP($A40,값!$A:$W,MATCH(Main!D$1,값!$2:$2,0),0)="",NA(),VLOOKUP($A40,값!$A:$W,MATCH(Main!D$1,값!$2:$2,0),0))</f>
        <v>1.7299999999999999E-2</v>
      </c>
      <c r="E40" s="12">
        <f>IF(VLOOKUP($A40,값!$A:$W,MATCH(Main!E$1,값!$2:$2,0),0)="",NA(),VLOOKUP($A40,값!$A:$W,MATCH(Main!E$1,값!$2:$2,0),0))</f>
        <v>2.5700000000000001E-2</v>
      </c>
      <c r="F40" s="12">
        <f>IF(VLOOKUP($A40,값!$A:$W,MATCH(Main!F$1,값!$2:$2,0),0)="",NA(),VLOOKUP($A40,값!$A:$W,MATCH(Main!F$1,값!$2:$2,0),0))</f>
        <v>4.02E-2</v>
      </c>
      <c r="G40" s="12">
        <f>IF(VLOOKUP($A40,값!$A:$W,MATCH(Main!G$1,값!$2:$2,0),0)="",NA(),VLOOKUP($A40,값!$A:$W,MATCH(Main!G$1,값!$2:$2,0),0))</f>
        <v>2.5700000000000001E-2</v>
      </c>
      <c r="H40" s="12" t="e">
        <f>IF(VLOOKUP($A40,값!$A:$W,MATCH(Main!H$1,값!$2:$2,0),0)="",NA(),VLOOKUP($A40,값!$A:$W,MATCH(Main!H$1,값!$2:$2,0),0))</f>
        <v>#N/A</v>
      </c>
      <c r="I40" s="12">
        <f>IF(VLOOKUP($A40,값!$A:$W,MATCH(Main!I$1,값!$2:$2,0),0)="",NA(),VLOOKUP($A40,값!$A:$W,MATCH(Main!I$1,값!$2:$2,0),0))</f>
        <v>0.17580000000000001</v>
      </c>
      <c r="J40" s="12">
        <f>IF(VLOOKUP($A40,값!$A:$W,MATCH(Main!J$1,값!$2:$2,0),0)="",NA(),VLOOKUP($A40,값!$A:$W,MATCH(Main!J$1,값!$2:$2,0),0))</f>
        <v>7.4399999999999994E-2</v>
      </c>
      <c r="K40" s="12">
        <f>IF(VLOOKUP($A40,값!$A:$W,MATCH(Main!K$1,값!$2:$2,0),0)="",NA(),VLOOKUP($A40,값!$A:$W,MATCH(Main!K$1,값!$2:$2,0),0))</f>
        <v>3.6810568584216607E-2</v>
      </c>
      <c r="L40" s="12">
        <f>IF(VLOOKUP($A40,값!$A:$W,MATCH(Main!L$1,값!$2:$2,0),0)="",NA(),VLOOKUP($A40,값!$A:$W,MATCH(Main!L$1,값!$2:$2,0),0))</f>
        <v>-2.3272000000000001E-2</v>
      </c>
      <c r="M40" s="12">
        <f>IF(VLOOKUP($A40,값!$A:$W,MATCH(Main!M$1,값!$2:$2,0),0)="",NA(),VLOOKUP($A40,값!$A:$W,MATCH(Main!M$1,값!$2:$2,0),0))</f>
        <v>-3.8600000000000002E-2</v>
      </c>
      <c r="N40" s="12">
        <f>IF(VLOOKUP($A40,값!$A:$W,MATCH(Main!N$1,값!$2:$2,0),0)="",NA(),VLOOKUP($A40,값!$A:$W,MATCH(Main!N$1,값!$2:$2,0),0))</f>
        <v>-2.3272000000000001E-2</v>
      </c>
      <c r="O40" s="12" t="e">
        <f>IF(VLOOKUP($A40,값!$A:$W,MATCH(Main!O$1,값!$2:$2,0),0)="",NA(),VLOOKUP($A40,값!$A:$W,MATCH(Main!O$1,값!$2:$2,0),0))</f>
        <v>#N/A</v>
      </c>
      <c r="P40" s="12" t="e">
        <f>IF(VLOOKUP($A40,값!$A:$W,MATCH(Main!P$1,값!$2:$2,0),0)="",NA(),VLOOKUP($A40,값!$A:$W,MATCH(Main!P$1,값!$2:$2,0),0))</f>
        <v>#N/A</v>
      </c>
      <c r="Q40" s="12">
        <f>IF(VLOOKUP($A40,값!$A:$W,MATCH(Main!Q$1,값!$2:$2,0),0)="",NA(),VLOOKUP($A40,값!$A:$W,MATCH(Main!Q$1,값!$2:$2,0),0))</f>
        <v>0.25081974309305566</v>
      </c>
      <c r="R40" s="12">
        <f>IF(VLOOKUP($A40,값!$A:$W,MATCH(Main!R$1,값!$2:$2,0),0)="",NA(),VLOOKUP($A40,값!$A:$W,MATCH(Main!R$1,값!$2:$2,0),0))</f>
        <v>1.9E-2</v>
      </c>
      <c r="S40" s="12">
        <f>IF(VLOOKUP($A40,값!$A:$W,MATCH(Main!S$1,값!$2:$2,0),0)="",NA(),VLOOKUP($A40,값!$A:$W,MATCH(Main!S$1,값!$2:$2,0),0))</f>
        <v>1.9E-2</v>
      </c>
      <c r="T40" s="12">
        <f>IF(VLOOKUP($A40,값!$A:$W,MATCH(Main!T$1,값!$2:$2,0),0)="",NA(),VLOOKUP($A40,값!$A:$W,MATCH(Main!T$1,값!$2:$2,0),0))</f>
        <v>1.9E-2</v>
      </c>
      <c r="U40" s="12">
        <f>IF(VLOOKUP($A40,값!$A:$W,MATCH(Main!U$1,값!$2:$2,0),0)="",NA(),VLOOKUP($A40,값!$A:$W,MATCH(Main!U$1,값!$2:$2,0),0))</f>
        <v>1.9E-2</v>
      </c>
      <c r="V40" s="12" t="e">
        <f>IF(VLOOKUP($A40,값!$A:$W,MATCH(Main!V$1,값!$2:$2,0),0)="",NA(),VLOOKUP($A40,값!$A:$W,MATCH(Main!V$1,값!$2:$2,0),0))</f>
        <v>#N/A</v>
      </c>
    </row>
    <row r="41" spans="1:22" x14ac:dyDescent="0.2">
      <c r="A41" s="1">
        <v>40178</v>
      </c>
      <c r="B41" s="12">
        <f>IF(VLOOKUP($A41,값!$A:$W,MATCH(Main!B$1,값!$2:$2,0),0)="",NA(),VLOOKUP($A41,값!$A:$W,MATCH(Main!B$1,값!$2:$2,0),0))</f>
        <v>6.4899999999999999E-2</v>
      </c>
      <c r="C41" s="12">
        <f>IF(VLOOKUP($A41,값!$A:$W,MATCH(Main!C$1,값!$2:$2,0),0)="",NA(),VLOOKUP($A41,값!$A:$W,MATCH(Main!C$1,값!$2:$2,0),0))</f>
        <v>4.2999999999999997E-2</v>
      </c>
      <c r="D41" s="12">
        <f>IF(VLOOKUP($A41,값!$A:$W,MATCH(Main!D$1,값!$2:$2,0),0)="",NA(),VLOOKUP($A41,값!$A:$W,MATCH(Main!D$1,값!$2:$2,0),0))</f>
        <v>4.2999999999999997E-2</v>
      </c>
      <c r="E41" s="12">
        <f>IF(VLOOKUP($A41,값!$A:$W,MATCH(Main!E$1,값!$2:$2,0),0)="",NA(),VLOOKUP($A41,값!$A:$W,MATCH(Main!E$1,값!$2:$2,0),0))</f>
        <v>7.2499999999999995E-2</v>
      </c>
      <c r="F41" s="12">
        <f>IF(VLOOKUP($A41,값!$A:$W,MATCH(Main!F$1,값!$2:$2,0),0)="",NA(),VLOOKUP($A41,값!$A:$W,MATCH(Main!F$1,값!$2:$2,0),0))</f>
        <v>5.0599999999999999E-2</v>
      </c>
      <c r="G41" s="12">
        <f>IF(VLOOKUP($A41,값!$A:$W,MATCH(Main!G$1,값!$2:$2,0),0)="",NA(),VLOOKUP($A41,값!$A:$W,MATCH(Main!G$1,값!$2:$2,0),0))</f>
        <v>7.2499999999999995E-2</v>
      </c>
      <c r="H41" s="12" t="e">
        <f>IF(VLOOKUP($A41,값!$A:$W,MATCH(Main!H$1,값!$2:$2,0),0)="",NA(),VLOOKUP($A41,값!$A:$W,MATCH(Main!H$1,값!$2:$2,0),0))</f>
        <v>#N/A</v>
      </c>
      <c r="I41" s="12">
        <f>IF(VLOOKUP($A41,값!$A:$W,MATCH(Main!I$1,값!$2:$2,0),0)="",NA(),VLOOKUP($A41,값!$A:$W,MATCH(Main!I$1,값!$2:$2,0),0))</f>
        <v>8.6699999999999999E-2</v>
      </c>
      <c r="J41" s="12">
        <f>IF(VLOOKUP($A41,값!$A:$W,MATCH(Main!J$1,값!$2:$2,0),0)="",NA(),VLOOKUP($A41,값!$A:$W,MATCH(Main!J$1,값!$2:$2,0),0))</f>
        <v>0.1164</v>
      </c>
      <c r="K41" s="12">
        <f>IF(VLOOKUP($A41,값!$A:$W,MATCH(Main!K$1,값!$2:$2,0),0)="",NA(),VLOOKUP($A41,값!$A:$W,MATCH(Main!K$1,값!$2:$2,0),0))</f>
        <v>1.0942709045253851E-2</v>
      </c>
      <c r="L41" s="12">
        <f>IF(VLOOKUP($A41,값!$A:$W,MATCH(Main!L$1,값!$2:$2,0),0)="",NA(),VLOOKUP($A41,값!$A:$W,MATCH(Main!L$1,값!$2:$2,0),0))</f>
        <v>-2.2239999999999998E-3</v>
      </c>
      <c r="M41" s="12">
        <f>IF(VLOOKUP($A41,값!$A:$W,MATCH(Main!M$1,값!$2:$2,0),0)="",NA(),VLOOKUP($A41,값!$A:$W,MATCH(Main!M$1,값!$2:$2,0),0))</f>
        <v>-0.1196</v>
      </c>
      <c r="N41" s="12">
        <f>IF(VLOOKUP($A41,값!$A:$W,MATCH(Main!N$1,값!$2:$2,0),0)="",NA(),VLOOKUP($A41,값!$A:$W,MATCH(Main!N$1,값!$2:$2,0),0))</f>
        <v>-2.2239999999999998E-3</v>
      </c>
      <c r="O41" s="12" t="e">
        <f>IF(VLOOKUP($A41,값!$A:$W,MATCH(Main!O$1,값!$2:$2,0),0)="",NA(),VLOOKUP($A41,값!$A:$W,MATCH(Main!O$1,값!$2:$2,0),0))</f>
        <v>#N/A</v>
      </c>
      <c r="P41" s="12" t="e">
        <f>IF(VLOOKUP($A41,값!$A:$W,MATCH(Main!P$1,값!$2:$2,0),0)="",NA(),VLOOKUP($A41,값!$A:$W,MATCH(Main!P$1,값!$2:$2,0),0))</f>
        <v>#N/A</v>
      </c>
      <c r="Q41" s="12">
        <f>IF(VLOOKUP($A41,값!$A:$W,MATCH(Main!Q$1,값!$2:$2,0),0)="",NA(),VLOOKUP($A41,값!$A:$W,MATCH(Main!Q$1,값!$2:$2,0),0))</f>
        <v>4.3954855538588689E-2</v>
      </c>
      <c r="R41" s="12">
        <f>IF(VLOOKUP($A41,값!$A:$W,MATCH(Main!R$1,값!$2:$2,0),0)="",NA(),VLOOKUP($A41,값!$A:$W,MATCH(Main!R$1,값!$2:$2,0),0))</f>
        <v>-2E-3</v>
      </c>
      <c r="S41" s="12">
        <f>IF(VLOOKUP($A41,값!$A:$W,MATCH(Main!S$1,값!$2:$2,0),0)="",NA(),VLOOKUP($A41,값!$A:$W,MATCH(Main!S$1,값!$2:$2,0),0))</f>
        <v>-2E-3</v>
      </c>
      <c r="T41" s="12">
        <f>IF(VLOOKUP($A41,값!$A:$W,MATCH(Main!T$1,값!$2:$2,0),0)="",NA(),VLOOKUP($A41,값!$A:$W,MATCH(Main!T$1,값!$2:$2,0),0))</f>
        <v>-2E-3</v>
      </c>
      <c r="U41" s="12">
        <f>IF(VLOOKUP($A41,값!$A:$W,MATCH(Main!U$1,값!$2:$2,0),0)="",NA(),VLOOKUP($A41,값!$A:$W,MATCH(Main!U$1,값!$2:$2,0),0))</f>
        <v>-2E-3</v>
      </c>
      <c r="V41" s="12" t="e">
        <f>IF(VLOOKUP($A41,값!$A:$W,MATCH(Main!V$1,값!$2:$2,0),0)="",NA(),VLOOKUP($A41,값!$A:$W,MATCH(Main!V$1,값!$2:$2,0),0))</f>
        <v>#N/A</v>
      </c>
    </row>
    <row r="42" spans="1:22" x14ac:dyDescent="0.2">
      <c r="A42" s="1">
        <v>40268</v>
      </c>
      <c r="B42" s="12">
        <f>IF(VLOOKUP($A42,값!$A:$W,MATCH(Main!B$1,값!$2:$2,0),0)="",NA(),VLOOKUP($A42,값!$A:$W,MATCH(Main!B$1,값!$2:$2,0),0))</f>
        <v>2.7300000000000001E-2</v>
      </c>
      <c r="C42" s="12">
        <f>IF(VLOOKUP($A42,값!$A:$W,MATCH(Main!C$1,값!$2:$2,0),0)="",NA(),VLOOKUP($A42,값!$A:$W,MATCH(Main!C$1,값!$2:$2,0),0))</f>
        <v>5.0000000000000001E-3</v>
      </c>
      <c r="D42" s="12">
        <f>IF(VLOOKUP($A42,값!$A:$W,MATCH(Main!D$1,값!$2:$2,0),0)="",NA(),VLOOKUP($A42,값!$A:$W,MATCH(Main!D$1,값!$2:$2,0),0))</f>
        <v>5.0000000000000001E-3</v>
      </c>
      <c r="E42" s="12">
        <f>IF(VLOOKUP($A42,값!$A:$W,MATCH(Main!E$1,값!$2:$2,0),0)="",NA(),VLOOKUP($A42,값!$A:$W,MATCH(Main!E$1,값!$2:$2,0),0))</f>
        <v>1.6899999999999998E-2</v>
      </c>
      <c r="F42" s="12">
        <f>IF(VLOOKUP($A42,값!$A:$W,MATCH(Main!F$1,값!$2:$2,0),0)="",NA(),VLOOKUP($A42,값!$A:$W,MATCH(Main!F$1,값!$2:$2,0),0))</f>
        <v>1.06E-2</v>
      </c>
      <c r="G42" s="12">
        <f>IF(VLOOKUP($A42,값!$A:$W,MATCH(Main!G$1,값!$2:$2,0),0)="",NA(),VLOOKUP($A42,값!$A:$W,MATCH(Main!G$1,값!$2:$2,0),0))</f>
        <v>1.6899999999999998E-2</v>
      </c>
      <c r="H42" s="12" t="e">
        <f>IF(VLOOKUP($A42,값!$A:$W,MATCH(Main!H$1,값!$2:$2,0),0)="",NA(),VLOOKUP($A42,값!$A:$W,MATCH(Main!H$1,값!$2:$2,0),0))</f>
        <v>#N/A</v>
      </c>
      <c r="I42" s="12">
        <f>IF(VLOOKUP($A42,값!$A:$W,MATCH(Main!I$1,값!$2:$2,0),0)="",NA(),VLOOKUP($A42,값!$A:$W,MATCH(Main!I$1,값!$2:$2,0),0))</f>
        <v>5.5E-2</v>
      </c>
      <c r="J42" s="12">
        <f>IF(VLOOKUP($A42,값!$A:$W,MATCH(Main!J$1,값!$2:$2,0),0)="",NA(),VLOOKUP($A42,값!$A:$W,MATCH(Main!J$1,값!$2:$2,0),0))</f>
        <v>3.9399999999999998E-2</v>
      </c>
      <c r="K42" s="12">
        <f>IF(VLOOKUP($A42,값!$A:$W,MATCH(Main!K$1,값!$2:$2,0),0)="",NA(),VLOOKUP($A42,값!$A:$W,MATCH(Main!K$1,값!$2:$2,0),0))</f>
        <v>1.6997172285071915E-2</v>
      </c>
      <c r="L42" s="12">
        <f>IF(VLOOKUP($A42,값!$A:$W,MATCH(Main!L$1,값!$2:$2,0),0)="",NA(),VLOOKUP($A42,값!$A:$W,MATCH(Main!L$1,값!$2:$2,0),0))</f>
        <v>5.3860000000000002E-3</v>
      </c>
      <c r="M42" s="12">
        <f>IF(VLOOKUP($A42,값!$A:$W,MATCH(Main!M$1,값!$2:$2,0),0)="",NA(),VLOOKUP($A42,값!$A:$W,MATCH(Main!M$1,값!$2:$2,0),0))</f>
        <v>5.1000000000000004E-3</v>
      </c>
      <c r="N42" s="12">
        <f>IF(VLOOKUP($A42,값!$A:$W,MATCH(Main!N$1,값!$2:$2,0),0)="",NA(),VLOOKUP($A42,값!$A:$W,MATCH(Main!N$1,값!$2:$2,0),0))</f>
        <v>5.3860000000000002E-3</v>
      </c>
      <c r="O42" s="12" t="e">
        <f>IF(VLOOKUP($A42,값!$A:$W,MATCH(Main!O$1,값!$2:$2,0),0)="",NA(),VLOOKUP($A42,값!$A:$W,MATCH(Main!O$1,값!$2:$2,0),0))</f>
        <v>#N/A</v>
      </c>
      <c r="P42" s="12" t="e">
        <f>IF(VLOOKUP($A42,값!$A:$W,MATCH(Main!P$1,값!$2:$2,0),0)="",NA(),VLOOKUP($A42,값!$A:$W,MATCH(Main!P$1,값!$2:$2,0),0))</f>
        <v>#N/A</v>
      </c>
      <c r="Q42" s="12">
        <f>IF(VLOOKUP($A42,값!$A:$W,MATCH(Main!Q$1,값!$2:$2,0),0)="",NA(),VLOOKUP($A42,값!$A:$W,MATCH(Main!Q$1,값!$2:$2,0),0))</f>
        <v>3.9655243856959288E-2</v>
      </c>
      <c r="R42" s="12">
        <f>IF(VLOOKUP($A42,값!$A:$W,MATCH(Main!R$1,값!$2:$2,0),0)="",NA(),VLOOKUP($A42,값!$A:$W,MATCH(Main!R$1,값!$2:$2,0),0))</f>
        <v>-1.15E-2</v>
      </c>
      <c r="S42" s="12">
        <f>IF(VLOOKUP($A42,값!$A:$W,MATCH(Main!S$1,값!$2:$2,0),0)="",NA(),VLOOKUP($A42,값!$A:$W,MATCH(Main!S$1,값!$2:$2,0),0))</f>
        <v>-1.15E-2</v>
      </c>
      <c r="T42" s="12">
        <f>IF(VLOOKUP($A42,값!$A:$W,MATCH(Main!T$1,값!$2:$2,0),0)="",NA(),VLOOKUP($A42,값!$A:$W,MATCH(Main!T$1,값!$2:$2,0),0))</f>
        <v>-1.15E-2</v>
      </c>
      <c r="U42" s="12">
        <f>IF(VLOOKUP($A42,값!$A:$W,MATCH(Main!U$1,값!$2:$2,0),0)="",NA(),VLOOKUP($A42,값!$A:$W,MATCH(Main!U$1,값!$2:$2,0),0))</f>
        <v>-1.15E-2</v>
      </c>
      <c r="V42" s="12" t="e">
        <f>IF(VLOOKUP($A42,값!$A:$W,MATCH(Main!V$1,값!$2:$2,0),0)="",NA(),VLOOKUP($A42,값!$A:$W,MATCH(Main!V$1,값!$2:$2,0),0))</f>
        <v>#N/A</v>
      </c>
    </row>
    <row r="43" spans="1:22" x14ac:dyDescent="0.2">
      <c r="A43" s="1">
        <v>40359</v>
      </c>
      <c r="B43" s="12">
        <f>IF(VLOOKUP($A43,값!$A:$W,MATCH(Main!B$1,값!$2:$2,0),0)="",NA(),VLOOKUP($A43,값!$A:$W,MATCH(Main!B$1,값!$2:$2,0),0))</f>
        <v>1.5E-3</v>
      </c>
      <c r="C43" s="12">
        <f>IF(VLOOKUP($A43,값!$A:$W,MATCH(Main!C$1,값!$2:$2,0),0)="",NA(),VLOOKUP($A43,값!$A:$W,MATCH(Main!C$1,값!$2:$2,0),0))</f>
        <v>-1.1000000000000001E-3</v>
      </c>
      <c r="D43" s="12">
        <f>IF(VLOOKUP($A43,값!$A:$W,MATCH(Main!D$1,값!$2:$2,0),0)="",NA(),VLOOKUP($A43,값!$A:$W,MATCH(Main!D$1,값!$2:$2,0),0))</f>
        <v>-1.1000000000000001E-3</v>
      </c>
      <c r="E43" s="12">
        <f>IF(VLOOKUP($A43,값!$A:$W,MATCH(Main!E$1,값!$2:$2,0),0)="",NA(),VLOOKUP($A43,값!$A:$W,MATCH(Main!E$1,값!$2:$2,0),0))</f>
        <v>2.1100000000000001E-2</v>
      </c>
      <c r="F43" s="12">
        <f>IF(VLOOKUP($A43,값!$A:$W,MATCH(Main!F$1,값!$2:$2,0),0)="",NA(),VLOOKUP($A43,값!$A:$W,MATCH(Main!F$1,값!$2:$2,0),0))</f>
        <v>-1.04E-2</v>
      </c>
      <c r="G43" s="12">
        <f>IF(VLOOKUP($A43,값!$A:$W,MATCH(Main!G$1,값!$2:$2,0),0)="",NA(),VLOOKUP($A43,값!$A:$W,MATCH(Main!G$1,값!$2:$2,0),0))</f>
        <v>2.1100000000000001E-2</v>
      </c>
      <c r="H43" s="12">
        <f>IF(VLOOKUP($A43,값!$A:$W,MATCH(Main!H$1,값!$2:$2,0),0)="",NA(),VLOOKUP($A43,값!$A:$W,MATCH(Main!H$1,값!$2:$2,0),0))</f>
        <v>-1.8800000000000001E-2</v>
      </c>
      <c r="I43" s="12">
        <f>IF(VLOOKUP($A43,값!$A:$W,MATCH(Main!I$1,값!$2:$2,0),0)="",NA(),VLOOKUP($A43,값!$A:$W,MATCH(Main!I$1,값!$2:$2,0),0))</f>
        <v>-1.72E-2</v>
      </c>
      <c r="J43" s="12">
        <f>IF(VLOOKUP($A43,값!$A:$W,MATCH(Main!J$1,값!$2:$2,0),0)="",NA(),VLOOKUP($A43,값!$A:$W,MATCH(Main!J$1,값!$2:$2,0),0))</f>
        <v>1.14E-2</v>
      </c>
      <c r="K43" s="12">
        <f>IF(VLOOKUP($A43,값!$A:$W,MATCH(Main!K$1,값!$2:$2,0),0)="",NA(),VLOOKUP($A43,값!$A:$W,MATCH(Main!K$1,값!$2:$2,0),0))</f>
        <v>-1.5008741234204592E-2</v>
      </c>
      <c r="L43" s="12">
        <f>IF(VLOOKUP($A43,값!$A:$W,MATCH(Main!L$1,값!$2:$2,0),0)="",NA(),VLOOKUP($A43,값!$A:$W,MATCH(Main!L$1,값!$2:$2,0),0))</f>
        <v>2.1250000000000002E-3</v>
      </c>
      <c r="M43" s="12">
        <f>IF(VLOOKUP($A43,값!$A:$W,MATCH(Main!M$1,값!$2:$2,0),0)="",NA(),VLOOKUP($A43,값!$A:$W,MATCH(Main!M$1,값!$2:$2,0),0))</f>
        <v>3.4299999999999997E-2</v>
      </c>
      <c r="N43" s="12">
        <f>IF(VLOOKUP($A43,값!$A:$W,MATCH(Main!N$1,값!$2:$2,0),0)="",NA(),VLOOKUP($A43,값!$A:$W,MATCH(Main!N$1,값!$2:$2,0),0))</f>
        <v>2.1250000000000002E-3</v>
      </c>
      <c r="O43" s="12" t="e">
        <f>IF(VLOOKUP($A43,값!$A:$W,MATCH(Main!O$1,값!$2:$2,0),0)="",NA(),VLOOKUP($A43,값!$A:$W,MATCH(Main!O$1,값!$2:$2,0),0))</f>
        <v>#N/A</v>
      </c>
      <c r="P43" s="12" t="e">
        <f>IF(VLOOKUP($A43,값!$A:$W,MATCH(Main!P$1,값!$2:$2,0),0)="",NA(),VLOOKUP($A43,값!$A:$W,MATCH(Main!P$1,값!$2:$2,0),0))</f>
        <v>#N/A</v>
      </c>
      <c r="Q43" s="12">
        <f>IF(VLOOKUP($A43,값!$A:$W,MATCH(Main!Q$1,값!$2:$2,0),0)="",NA(),VLOOKUP($A43,값!$A:$W,MATCH(Main!Q$1,값!$2:$2,0),0))</f>
        <v>-7.8864089278597005E-2</v>
      </c>
      <c r="R43" s="12">
        <f>IF(VLOOKUP($A43,값!$A:$W,MATCH(Main!R$1,값!$2:$2,0),0)="",NA(),VLOOKUP($A43,값!$A:$W,MATCH(Main!R$1,값!$2:$2,0),0))</f>
        <v>-1.9E-3</v>
      </c>
      <c r="S43" s="12">
        <f>IF(VLOOKUP($A43,값!$A:$W,MATCH(Main!S$1,값!$2:$2,0),0)="",NA(),VLOOKUP($A43,값!$A:$W,MATCH(Main!S$1,값!$2:$2,0),0))</f>
        <v>-1.9E-3</v>
      </c>
      <c r="T43" s="12">
        <f>IF(VLOOKUP($A43,값!$A:$W,MATCH(Main!T$1,값!$2:$2,0),0)="",NA(),VLOOKUP($A43,값!$A:$W,MATCH(Main!T$1,값!$2:$2,0),0))</f>
        <v>-1.9E-3</v>
      </c>
      <c r="U43" s="12">
        <f>IF(VLOOKUP($A43,값!$A:$W,MATCH(Main!U$1,값!$2:$2,0),0)="",NA(),VLOOKUP($A43,값!$A:$W,MATCH(Main!U$1,값!$2:$2,0),0))</f>
        <v>-1.9E-3</v>
      </c>
      <c r="V43" s="12">
        <f>IF(VLOOKUP($A43,값!$A:$W,MATCH(Main!V$1,값!$2:$2,0),0)="",NA(),VLOOKUP($A43,값!$A:$W,MATCH(Main!V$1,값!$2:$2,0),0))</f>
        <v>4.3665059535976214E-2</v>
      </c>
    </row>
    <row r="44" spans="1:22" x14ac:dyDescent="0.2">
      <c r="A44" s="1">
        <v>40451</v>
      </c>
      <c r="B44" s="12">
        <f>IF(VLOOKUP($A44,값!$A:$W,MATCH(Main!B$1,값!$2:$2,0),0)="",NA(),VLOOKUP($A44,값!$A:$W,MATCH(Main!B$1,값!$2:$2,0),0))</f>
        <v>6.8900000000000003E-2</v>
      </c>
      <c r="C44" s="12">
        <f>IF(VLOOKUP($A44,값!$A:$W,MATCH(Main!C$1,값!$2:$2,0),0)="",NA(),VLOOKUP($A44,값!$A:$W,MATCH(Main!C$1,값!$2:$2,0),0))</f>
        <v>4.0800000000000003E-2</v>
      </c>
      <c r="D44" s="12">
        <f>IF(VLOOKUP($A44,값!$A:$W,MATCH(Main!D$1,값!$2:$2,0),0)="",NA(),VLOOKUP($A44,값!$A:$W,MATCH(Main!D$1,값!$2:$2,0),0))</f>
        <v>4.0800000000000003E-2</v>
      </c>
      <c r="E44" s="12">
        <f>IF(VLOOKUP($A44,값!$A:$W,MATCH(Main!E$1,값!$2:$2,0),0)="",NA(),VLOOKUP($A44,값!$A:$W,MATCH(Main!E$1,값!$2:$2,0),0))</f>
        <v>6.13E-2</v>
      </c>
      <c r="F44" s="12">
        <f>IF(VLOOKUP($A44,값!$A:$W,MATCH(Main!F$1,값!$2:$2,0),0)="",NA(),VLOOKUP($A44,값!$A:$W,MATCH(Main!F$1,값!$2:$2,0),0))</f>
        <v>6.6199999999999995E-2</v>
      </c>
      <c r="G44" s="12">
        <f>IF(VLOOKUP($A44,값!$A:$W,MATCH(Main!G$1,값!$2:$2,0),0)="",NA(),VLOOKUP($A44,값!$A:$W,MATCH(Main!G$1,값!$2:$2,0),0))</f>
        <v>6.13E-2</v>
      </c>
      <c r="H44" s="12">
        <f>IF(VLOOKUP($A44,값!$A:$W,MATCH(Main!H$1,값!$2:$2,0),0)="",NA(),VLOOKUP($A44,값!$A:$W,MATCH(Main!H$1,값!$2:$2,0),0))</f>
        <v>6.3799999999999996E-2</v>
      </c>
      <c r="I44" s="12">
        <f>IF(VLOOKUP($A44,값!$A:$W,MATCH(Main!I$1,값!$2:$2,0),0)="",NA(),VLOOKUP($A44,값!$A:$W,MATCH(Main!I$1,값!$2:$2,0),0))</f>
        <v>5.0200000000000002E-2</v>
      </c>
      <c r="J44" s="12">
        <f>IF(VLOOKUP($A44,값!$A:$W,MATCH(Main!J$1,값!$2:$2,0),0)="",NA(),VLOOKUP($A44,값!$A:$W,MATCH(Main!J$1,값!$2:$2,0),0))</f>
        <v>0.1076</v>
      </c>
      <c r="K44" s="12">
        <f>IF(VLOOKUP($A44,값!$A:$W,MATCH(Main!K$1,값!$2:$2,0),0)="",NA(),VLOOKUP($A44,값!$A:$W,MATCH(Main!K$1,값!$2:$2,0),0))</f>
        <v>2.2504337472315283E-2</v>
      </c>
      <c r="L44" s="12">
        <f>IF(VLOOKUP($A44,값!$A:$W,MATCH(Main!L$1,값!$2:$2,0),0)="",NA(),VLOOKUP($A44,값!$A:$W,MATCH(Main!L$1,값!$2:$2,0),0))</f>
        <v>9.2945E-2</v>
      </c>
      <c r="M44" s="12">
        <f>IF(VLOOKUP($A44,값!$A:$W,MATCH(Main!M$1,값!$2:$2,0),0)="",NA(),VLOOKUP($A44,값!$A:$W,MATCH(Main!M$1,값!$2:$2,0),0))</f>
        <v>5.5899999999999998E-2</v>
      </c>
      <c r="N44" s="12">
        <f>IF(VLOOKUP($A44,값!$A:$W,MATCH(Main!N$1,값!$2:$2,0),0)="",NA(),VLOOKUP($A44,값!$A:$W,MATCH(Main!N$1,값!$2:$2,0),0))</f>
        <v>9.2945E-2</v>
      </c>
      <c r="O44" s="12" t="e">
        <f>IF(VLOOKUP($A44,값!$A:$W,MATCH(Main!O$1,값!$2:$2,0),0)="",NA(),VLOOKUP($A44,값!$A:$W,MATCH(Main!O$1,값!$2:$2,0),0))</f>
        <v>#N/A</v>
      </c>
      <c r="P44" s="12" t="e">
        <f>IF(VLOOKUP($A44,값!$A:$W,MATCH(Main!P$1,값!$2:$2,0),0)="",NA(),VLOOKUP($A44,값!$A:$W,MATCH(Main!P$1,값!$2:$2,0),0))</f>
        <v>#N/A</v>
      </c>
      <c r="Q44" s="12">
        <f>IF(VLOOKUP($A44,값!$A:$W,MATCH(Main!Q$1,값!$2:$2,0),0)="",NA(),VLOOKUP($A44,값!$A:$W,MATCH(Main!Q$1,값!$2:$2,0),0))</f>
        <v>0.18440762743766048</v>
      </c>
      <c r="R44" s="12">
        <f>IF(VLOOKUP($A44,값!$A:$W,MATCH(Main!R$1,값!$2:$2,0),0)="",NA(),VLOOKUP($A44,값!$A:$W,MATCH(Main!R$1,값!$2:$2,0),0))</f>
        <v>8.7800000000000003E-2</v>
      </c>
      <c r="S44" s="12">
        <f>IF(VLOOKUP($A44,값!$A:$W,MATCH(Main!S$1,값!$2:$2,0),0)="",NA(),VLOOKUP($A44,값!$A:$W,MATCH(Main!S$1,값!$2:$2,0),0))</f>
        <v>8.7800000000000003E-2</v>
      </c>
      <c r="T44" s="12">
        <f>IF(VLOOKUP($A44,값!$A:$W,MATCH(Main!T$1,값!$2:$2,0),0)="",NA(),VLOOKUP($A44,값!$A:$W,MATCH(Main!T$1,값!$2:$2,0),0))</f>
        <v>8.7800000000000003E-2</v>
      </c>
      <c r="U44" s="12">
        <f>IF(VLOOKUP($A44,값!$A:$W,MATCH(Main!U$1,값!$2:$2,0),0)="",NA(),VLOOKUP($A44,값!$A:$W,MATCH(Main!U$1,값!$2:$2,0),0))</f>
        <v>8.7800000000000003E-2</v>
      </c>
      <c r="V44" s="12">
        <f>IF(VLOOKUP($A44,값!$A:$W,MATCH(Main!V$1,값!$2:$2,0),0)="",NA(),VLOOKUP($A44,값!$A:$W,MATCH(Main!V$1,값!$2:$2,0),0))</f>
        <v>4.2870226721145155E-2</v>
      </c>
    </row>
    <row r="45" spans="1:22" x14ac:dyDescent="0.2">
      <c r="A45" s="1">
        <v>40543</v>
      </c>
      <c r="B45" s="12">
        <f>IF(VLOOKUP($A45,값!$A:$W,MATCH(Main!B$1,값!$2:$2,0),0)="",NA(),VLOOKUP($A45,값!$A:$W,MATCH(Main!B$1,값!$2:$2,0),0))</f>
        <v>7.5499999999999998E-2</v>
      </c>
      <c r="C45" s="12">
        <f>IF(VLOOKUP($A45,값!$A:$W,MATCH(Main!C$1,값!$2:$2,0),0)="",NA(),VLOOKUP($A45,값!$A:$W,MATCH(Main!C$1,값!$2:$2,0),0))</f>
        <v>8.3599999999999994E-2</v>
      </c>
      <c r="D45" s="12">
        <f>IF(VLOOKUP($A45,값!$A:$W,MATCH(Main!D$1,값!$2:$2,0),0)="",NA(),VLOOKUP($A45,값!$A:$W,MATCH(Main!D$1,값!$2:$2,0),0))</f>
        <v>8.3599999999999994E-2</v>
      </c>
      <c r="E45" s="12">
        <f>IF(VLOOKUP($A45,값!$A:$W,MATCH(Main!E$1,값!$2:$2,0),0)="",NA(),VLOOKUP($A45,값!$A:$W,MATCH(Main!E$1,값!$2:$2,0),0))</f>
        <v>9.8500000000000004E-2</v>
      </c>
      <c r="F45" s="12">
        <f>IF(VLOOKUP($A45,값!$A:$W,MATCH(Main!F$1,값!$2:$2,0),0)="",NA(),VLOOKUP($A45,값!$A:$W,MATCH(Main!F$1,값!$2:$2,0),0))</f>
        <v>7.4300000000000005E-2</v>
      </c>
      <c r="G45" s="12">
        <f>IF(VLOOKUP($A45,값!$A:$W,MATCH(Main!G$1,값!$2:$2,0),0)="",NA(),VLOOKUP($A45,값!$A:$W,MATCH(Main!G$1,값!$2:$2,0),0))</f>
        <v>9.8500000000000004E-2</v>
      </c>
      <c r="H45" s="12">
        <f>IF(VLOOKUP($A45,값!$A:$W,MATCH(Main!H$1,값!$2:$2,0),0)="",NA(),VLOOKUP($A45,값!$A:$W,MATCH(Main!H$1,값!$2:$2,0),0))</f>
        <v>4.2299999999999997E-2</v>
      </c>
      <c r="I45" s="12">
        <f>IF(VLOOKUP($A45,값!$A:$W,MATCH(Main!I$1,값!$2:$2,0),0)="",NA(),VLOOKUP($A45,값!$A:$W,MATCH(Main!I$1,값!$2:$2,0),0))</f>
        <v>6.0900000000000003E-2</v>
      </c>
      <c r="J45" s="12">
        <f>IF(VLOOKUP($A45,값!$A:$W,MATCH(Main!J$1,값!$2:$2,0),0)="",NA(),VLOOKUP($A45,값!$A:$W,MATCH(Main!J$1,값!$2:$2,0),0))</f>
        <v>0.1137</v>
      </c>
      <c r="K45" s="12">
        <f>IF(VLOOKUP($A45,값!$A:$W,MATCH(Main!K$1,값!$2:$2,0),0)="",NA(),VLOOKUP($A45,값!$A:$W,MATCH(Main!K$1,값!$2:$2,0),0))</f>
        <v>2.5828556718766604E-2</v>
      </c>
      <c r="L45" s="12">
        <f>IF(VLOOKUP($A45,값!$A:$W,MATCH(Main!L$1,값!$2:$2,0),0)="",NA(),VLOOKUP($A45,값!$A:$W,MATCH(Main!L$1,값!$2:$2,0),0))</f>
        <v>4.7570000000000001E-2</v>
      </c>
      <c r="M45" s="12">
        <f>IF(VLOOKUP($A45,값!$A:$W,MATCH(Main!M$1,값!$2:$2,0),0)="",NA(),VLOOKUP($A45,값!$A:$W,MATCH(Main!M$1,값!$2:$2,0),0))</f>
        <v>8.4099999999999994E-2</v>
      </c>
      <c r="N45" s="12">
        <f>IF(VLOOKUP($A45,값!$A:$W,MATCH(Main!N$1,값!$2:$2,0),0)="",NA(),VLOOKUP($A45,값!$A:$W,MATCH(Main!N$1,값!$2:$2,0),0))</f>
        <v>4.7570000000000001E-2</v>
      </c>
      <c r="O45" s="12" t="e">
        <f>IF(VLOOKUP($A45,값!$A:$W,MATCH(Main!O$1,값!$2:$2,0),0)="",NA(),VLOOKUP($A45,값!$A:$W,MATCH(Main!O$1,값!$2:$2,0),0))</f>
        <v>#N/A</v>
      </c>
      <c r="P45" s="12" t="e">
        <f>IF(VLOOKUP($A45,값!$A:$W,MATCH(Main!P$1,값!$2:$2,0),0)="",NA(),VLOOKUP($A45,값!$A:$W,MATCH(Main!P$1,값!$2:$2,0),0))</f>
        <v>#N/A</v>
      </c>
      <c r="Q45" s="12">
        <f>IF(VLOOKUP($A45,값!$A:$W,MATCH(Main!Q$1,값!$2:$2,0),0)="",NA(),VLOOKUP($A45,값!$A:$W,MATCH(Main!Q$1,값!$2:$2,0),0))</f>
        <v>6.1512720471117666E-2</v>
      </c>
      <c r="R45" s="12">
        <f>IF(VLOOKUP($A45,값!$A:$W,MATCH(Main!R$1,값!$2:$2,0),0)="",NA(),VLOOKUP($A45,값!$A:$W,MATCH(Main!R$1,값!$2:$2,0),0))</f>
        <v>1.6E-2</v>
      </c>
      <c r="S45" s="12">
        <f>IF(VLOOKUP($A45,값!$A:$W,MATCH(Main!S$1,값!$2:$2,0),0)="",NA(),VLOOKUP($A45,값!$A:$W,MATCH(Main!S$1,값!$2:$2,0),0))</f>
        <v>1.6E-2</v>
      </c>
      <c r="T45" s="12">
        <f>IF(VLOOKUP($A45,값!$A:$W,MATCH(Main!T$1,값!$2:$2,0),0)="",NA(),VLOOKUP($A45,값!$A:$W,MATCH(Main!T$1,값!$2:$2,0),0))</f>
        <v>1.6E-2</v>
      </c>
      <c r="U45" s="12">
        <f>IF(VLOOKUP($A45,값!$A:$W,MATCH(Main!U$1,값!$2:$2,0),0)="",NA(),VLOOKUP($A45,값!$A:$W,MATCH(Main!U$1,값!$2:$2,0),0))</f>
        <v>1.6E-2</v>
      </c>
      <c r="V45" s="12">
        <f>IF(VLOOKUP($A45,값!$A:$W,MATCH(Main!V$1,값!$2:$2,0),0)="",NA(),VLOOKUP($A45,값!$A:$W,MATCH(Main!V$1,값!$2:$2,0),0))</f>
        <v>-1.642475699331758E-2</v>
      </c>
    </row>
    <row r="46" spans="1:22" x14ac:dyDescent="0.2">
      <c r="A46" s="1">
        <v>40633</v>
      </c>
      <c r="B46" s="12">
        <f>IF(VLOOKUP($A46,값!$A:$W,MATCH(Main!B$1,값!$2:$2,0),0)="",NA(),VLOOKUP($A46,값!$A:$W,MATCH(Main!B$1,값!$2:$2,0),0))</f>
        <v>6.25E-2</v>
      </c>
      <c r="C46" s="12">
        <f>IF(VLOOKUP($A46,값!$A:$W,MATCH(Main!C$1,값!$2:$2,0),0)="",NA(),VLOOKUP($A46,값!$A:$W,MATCH(Main!C$1,값!$2:$2,0),0))</f>
        <v>3.4099999999999998E-2</v>
      </c>
      <c r="D46" s="12">
        <f>IF(VLOOKUP($A46,값!$A:$W,MATCH(Main!D$1,값!$2:$2,0),0)="",NA(),VLOOKUP($A46,값!$A:$W,MATCH(Main!D$1,값!$2:$2,0),0))</f>
        <v>3.4099999999999998E-2</v>
      </c>
      <c r="E46" s="12">
        <f>IF(VLOOKUP($A46,값!$A:$W,MATCH(Main!E$1,값!$2:$2,0),0)="",NA(),VLOOKUP($A46,값!$A:$W,MATCH(Main!E$1,값!$2:$2,0),0))</f>
        <v>4.2099999999999999E-2</v>
      </c>
      <c r="F46" s="12">
        <f>IF(VLOOKUP($A46,값!$A:$W,MATCH(Main!F$1,값!$2:$2,0),0)="",NA(),VLOOKUP($A46,값!$A:$W,MATCH(Main!F$1,값!$2:$2,0),0))</f>
        <v>4.7899999999999998E-2</v>
      </c>
      <c r="G46" s="12">
        <f>IF(VLOOKUP($A46,값!$A:$W,MATCH(Main!G$1,값!$2:$2,0),0)="",NA(),VLOOKUP($A46,값!$A:$W,MATCH(Main!G$1,값!$2:$2,0),0))</f>
        <v>4.2099999999999999E-2</v>
      </c>
      <c r="H46" s="12">
        <f>IF(VLOOKUP($A46,값!$A:$W,MATCH(Main!H$1,값!$2:$2,0),0)="",NA(),VLOOKUP($A46,값!$A:$W,MATCH(Main!H$1,값!$2:$2,0),0))</f>
        <v>2.6100000000000002E-2</v>
      </c>
      <c r="I46" s="12">
        <f>IF(VLOOKUP($A46,값!$A:$W,MATCH(Main!I$1,값!$2:$2,0),0)="",NA(),VLOOKUP($A46,값!$A:$W,MATCH(Main!I$1,값!$2:$2,0),0))</f>
        <v>5.0999999999999997E-2</v>
      </c>
      <c r="J46" s="12">
        <f>IF(VLOOKUP($A46,값!$A:$W,MATCH(Main!J$1,값!$2:$2,0),0)="",NA(),VLOOKUP($A46,값!$A:$W,MATCH(Main!J$1,값!$2:$2,0),0))</f>
        <v>1.2999999999999999E-2</v>
      </c>
      <c r="K46" s="12">
        <f>IF(VLOOKUP($A46,값!$A:$W,MATCH(Main!K$1,값!$2:$2,0),0)="",NA(),VLOOKUP($A46,값!$A:$W,MATCH(Main!K$1,값!$2:$2,0),0))</f>
        <v>1.0905276510864814E-2</v>
      </c>
      <c r="L46" s="12">
        <f>IF(VLOOKUP($A46,값!$A:$W,MATCH(Main!L$1,값!$2:$2,0),0)="",NA(),VLOOKUP($A46,값!$A:$W,MATCH(Main!L$1,값!$2:$2,0),0))</f>
        <v>4.1148999999999998E-2</v>
      </c>
      <c r="M46" s="12">
        <f>IF(VLOOKUP($A46,값!$A:$W,MATCH(Main!M$1,값!$2:$2,0),0)="",NA(),VLOOKUP($A46,값!$A:$W,MATCH(Main!M$1,값!$2:$2,0),0))</f>
        <v>4.9500000000000002E-2</v>
      </c>
      <c r="N46" s="12">
        <f>IF(VLOOKUP($A46,값!$A:$W,MATCH(Main!N$1,값!$2:$2,0),0)="",NA(),VLOOKUP($A46,값!$A:$W,MATCH(Main!N$1,값!$2:$2,0),0))</f>
        <v>4.1148999999999998E-2</v>
      </c>
      <c r="O46" s="12" t="e">
        <f>IF(VLOOKUP($A46,값!$A:$W,MATCH(Main!O$1,값!$2:$2,0),0)="",NA(),VLOOKUP($A46,값!$A:$W,MATCH(Main!O$1,값!$2:$2,0),0))</f>
        <v>#N/A</v>
      </c>
      <c r="P46" s="12" t="e">
        <f>IF(VLOOKUP($A46,값!$A:$W,MATCH(Main!P$1,값!$2:$2,0),0)="",NA(),VLOOKUP($A46,값!$A:$W,MATCH(Main!P$1,값!$2:$2,0),0))</f>
        <v>#N/A</v>
      </c>
      <c r="Q46" s="12">
        <f>IF(VLOOKUP($A46,값!$A:$W,MATCH(Main!Q$1,값!$2:$2,0),0)="",NA(),VLOOKUP($A46,값!$A:$W,MATCH(Main!Q$1,값!$2:$2,0),0))</f>
        <v>3.0433286299342832E-2</v>
      </c>
      <c r="R46" s="12">
        <f>IF(VLOOKUP($A46,값!$A:$W,MATCH(Main!R$1,값!$2:$2,0),0)="",NA(),VLOOKUP($A46,값!$A:$W,MATCH(Main!R$1,값!$2:$2,0),0))</f>
        <v>5.8700000000000002E-2</v>
      </c>
      <c r="S46" s="12">
        <f>IF(VLOOKUP($A46,값!$A:$W,MATCH(Main!S$1,값!$2:$2,0),0)="",NA(),VLOOKUP($A46,값!$A:$W,MATCH(Main!S$1,값!$2:$2,0),0))</f>
        <v>5.8700000000000002E-2</v>
      </c>
      <c r="T46" s="12">
        <f>IF(VLOOKUP($A46,값!$A:$W,MATCH(Main!T$1,값!$2:$2,0),0)="",NA(),VLOOKUP($A46,값!$A:$W,MATCH(Main!T$1,값!$2:$2,0),0))</f>
        <v>5.8700000000000002E-2</v>
      </c>
      <c r="U46" s="12">
        <f>IF(VLOOKUP($A46,값!$A:$W,MATCH(Main!U$1,값!$2:$2,0),0)="",NA(),VLOOKUP($A46,값!$A:$W,MATCH(Main!U$1,값!$2:$2,0),0))</f>
        <v>5.8700000000000002E-2</v>
      </c>
      <c r="V46" s="12">
        <f>IF(VLOOKUP($A46,값!$A:$W,MATCH(Main!V$1,값!$2:$2,0),0)="",NA(),VLOOKUP($A46,값!$A:$W,MATCH(Main!V$1,값!$2:$2,0),0))</f>
        <v>1.1567277679244148E-2</v>
      </c>
    </row>
    <row r="47" spans="1:22" x14ac:dyDescent="0.2">
      <c r="A47" s="1">
        <v>40724</v>
      </c>
      <c r="B47" s="12">
        <f>IF(VLOOKUP($A47,값!$A:$W,MATCH(Main!B$1,값!$2:$2,0),0)="",NA(),VLOOKUP($A47,값!$A:$W,MATCH(Main!B$1,값!$2:$2,0),0))</f>
        <v>5.6300000000000003E-2</v>
      </c>
      <c r="C47" s="12">
        <f>IF(VLOOKUP($A47,값!$A:$W,MATCH(Main!C$1,값!$2:$2,0),0)="",NA(),VLOOKUP($A47,값!$A:$W,MATCH(Main!C$1,값!$2:$2,0),0))</f>
        <v>6.9699999999999998E-2</v>
      </c>
      <c r="D47" s="12">
        <f>IF(VLOOKUP($A47,값!$A:$W,MATCH(Main!D$1,값!$2:$2,0),0)="",NA(),VLOOKUP($A47,값!$A:$W,MATCH(Main!D$1,값!$2:$2,0),0))</f>
        <v>6.9699999999999998E-2</v>
      </c>
      <c r="E47" s="12">
        <f>IF(VLOOKUP($A47,값!$A:$W,MATCH(Main!E$1,값!$2:$2,0),0)="",NA(),VLOOKUP($A47,값!$A:$W,MATCH(Main!E$1,값!$2:$2,0),0))</f>
        <v>4.58E-2</v>
      </c>
      <c r="F47" s="12">
        <f>IF(VLOOKUP($A47,값!$A:$W,MATCH(Main!F$1,값!$2:$2,0),0)="",NA(),VLOOKUP($A47,값!$A:$W,MATCH(Main!F$1,값!$2:$2,0),0))</f>
        <v>4.8899999999999999E-2</v>
      </c>
      <c r="G47" s="12">
        <f>IF(VLOOKUP($A47,값!$A:$W,MATCH(Main!G$1,값!$2:$2,0),0)="",NA(),VLOOKUP($A47,값!$A:$W,MATCH(Main!G$1,값!$2:$2,0),0))</f>
        <v>4.58E-2</v>
      </c>
      <c r="H47" s="12">
        <f>IF(VLOOKUP($A47,값!$A:$W,MATCH(Main!H$1,값!$2:$2,0),0)="",NA(),VLOOKUP($A47,값!$A:$W,MATCH(Main!H$1,값!$2:$2,0),0))</f>
        <v>8.9999999999999993E-3</v>
      </c>
      <c r="I47" s="12">
        <f>IF(VLOOKUP($A47,값!$A:$W,MATCH(Main!I$1,값!$2:$2,0),0)="",NA(),VLOOKUP($A47,값!$A:$W,MATCH(Main!I$1,값!$2:$2,0),0))</f>
        <v>8.9999999999999993E-3</v>
      </c>
      <c r="J47" s="12">
        <f>IF(VLOOKUP($A47,값!$A:$W,MATCH(Main!J$1,값!$2:$2,0),0)="",NA(),VLOOKUP($A47,값!$A:$W,MATCH(Main!J$1,값!$2:$2,0),0))</f>
        <v>1.3599999999999999E-2</v>
      </c>
      <c r="K47" s="12">
        <f>IF(VLOOKUP($A47,값!$A:$W,MATCH(Main!K$1,값!$2:$2,0),0)="",NA(),VLOOKUP($A47,값!$A:$W,MATCH(Main!K$1,값!$2:$2,0),0))</f>
        <v>-7.7328523083847189E-3</v>
      </c>
      <c r="L47" s="12">
        <f>IF(VLOOKUP($A47,값!$A:$W,MATCH(Main!L$1,값!$2:$2,0),0)="",NA(),VLOOKUP($A47,값!$A:$W,MATCH(Main!L$1,값!$2:$2,0),0))</f>
        <v>4.2770000000000002E-2</v>
      </c>
      <c r="M47" s="12">
        <f>IF(VLOOKUP($A47,값!$A:$W,MATCH(Main!M$1,값!$2:$2,0),0)="",NA(),VLOOKUP($A47,값!$A:$W,MATCH(Main!M$1,값!$2:$2,0),0))</f>
        <v>5.1299999999999998E-2</v>
      </c>
      <c r="N47" s="12">
        <f>IF(VLOOKUP($A47,값!$A:$W,MATCH(Main!N$1,값!$2:$2,0),0)="",NA(),VLOOKUP($A47,값!$A:$W,MATCH(Main!N$1,값!$2:$2,0),0))</f>
        <v>4.2770000000000002E-2</v>
      </c>
      <c r="O47" s="12" t="e">
        <f>IF(VLOOKUP($A47,값!$A:$W,MATCH(Main!O$1,값!$2:$2,0),0)="",NA(),VLOOKUP($A47,값!$A:$W,MATCH(Main!O$1,값!$2:$2,0),0))</f>
        <v>#N/A</v>
      </c>
      <c r="P47" s="12" t="e">
        <f>IF(VLOOKUP($A47,값!$A:$W,MATCH(Main!P$1,값!$2:$2,0),0)="",NA(),VLOOKUP($A47,값!$A:$W,MATCH(Main!P$1,값!$2:$2,0),0))</f>
        <v>#N/A</v>
      </c>
      <c r="Q47" s="12">
        <f>IF(VLOOKUP($A47,값!$A:$W,MATCH(Main!Q$1,값!$2:$2,0),0)="",NA(),VLOOKUP($A47,값!$A:$W,MATCH(Main!Q$1,값!$2:$2,0),0))</f>
        <v>2.9420900228112945E-2</v>
      </c>
      <c r="R47" s="12">
        <f>IF(VLOOKUP($A47,값!$A:$W,MATCH(Main!R$1,값!$2:$2,0),0)="",NA(),VLOOKUP($A47,값!$A:$W,MATCH(Main!R$1,값!$2:$2,0),0))</f>
        <v>3.1399999999999997E-2</v>
      </c>
      <c r="S47" s="12">
        <f>IF(VLOOKUP($A47,값!$A:$W,MATCH(Main!S$1,값!$2:$2,0),0)="",NA(),VLOOKUP($A47,값!$A:$W,MATCH(Main!S$1,값!$2:$2,0),0))</f>
        <v>3.1399999999999997E-2</v>
      </c>
      <c r="T47" s="12">
        <f>IF(VLOOKUP($A47,값!$A:$W,MATCH(Main!T$1,값!$2:$2,0),0)="",NA(),VLOOKUP($A47,값!$A:$W,MATCH(Main!T$1,값!$2:$2,0),0))</f>
        <v>3.1399999999999997E-2</v>
      </c>
      <c r="U47" s="12">
        <f>IF(VLOOKUP($A47,값!$A:$W,MATCH(Main!U$1,값!$2:$2,0),0)="",NA(),VLOOKUP($A47,값!$A:$W,MATCH(Main!U$1,값!$2:$2,0),0))</f>
        <v>3.1399999999999997E-2</v>
      </c>
      <c r="V47" s="12">
        <f>IF(VLOOKUP($A47,값!$A:$W,MATCH(Main!V$1,값!$2:$2,0),0)="",NA(),VLOOKUP($A47,값!$A:$W,MATCH(Main!V$1,값!$2:$2,0),0))</f>
        <v>2.8091124755274866E-2</v>
      </c>
    </row>
    <row r="48" spans="1:22" x14ac:dyDescent="0.2">
      <c r="A48" s="1">
        <v>40816</v>
      </c>
      <c r="B48" s="12">
        <f>IF(VLOOKUP($A48,값!$A:$W,MATCH(Main!B$1,값!$2:$2,0),0)="",NA(),VLOOKUP($A48,값!$A:$W,MATCH(Main!B$1,값!$2:$2,0),0))</f>
        <v>-6.4199999999999993E-2</v>
      </c>
      <c r="C48" s="12">
        <f>IF(VLOOKUP($A48,값!$A:$W,MATCH(Main!C$1,값!$2:$2,0),0)="",NA(),VLOOKUP($A48,값!$A:$W,MATCH(Main!C$1,값!$2:$2,0),0))</f>
        <v>-6.1000000000000004E-3</v>
      </c>
      <c r="D48" s="12">
        <f>IF(VLOOKUP($A48,값!$A:$W,MATCH(Main!D$1,값!$2:$2,0),0)="",NA(),VLOOKUP($A48,값!$A:$W,MATCH(Main!D$1,값!$2:$2,0),0))</f>
        <v>-6.1000000000000004E-3</v>
      </c>
      <c r="E48" s="12">
        <f>IF(VLOOKUP($A48,값!$A:$W,MATCH(Main!E$1,값!$2:$2,0),0)="",NA(),VLOOKUP($A48,값!$A:$W,MATCH(Main!E$1,값!$2:$2,0),0))</f>
        <v>1.15E-2</v>
      </c>
      <c r="F48" s="12">
        <f>IF(VLOOKUP($A48,값!$A:$W,MATCH(Main!F$1,값!$2:$2,0),0)="",NA(),VLOOKUP($A48,값!$A:$W,MATCH(Main!F$1,값!$2:$2,0),0))</f>
        <v>-2.6599999999999999E-2</v>
      </c>
      <c r="G48" s="12">
        <f>IF(VLOOKUP($A48,값!$A:$W,MATCH(Main!G$1,값!$2:$2,0),0)="",NA(),VLOOKUP($A48,값!$A:$W,MATCH(Main!G$1,값!$2:$2,0),0))</f>
        <v>1.15E-2</v>
      </c>
      <c r="H48" s="12">
        <f>IF(VLOOKUP($A48,값!$A:$W,MATCH(Main!H$1,값!$2:$2,0),0)="",NA(),VLOOKUP($A48,값!$A:$W,MATCH(Main!H$1,값!$2:$2,0),0))</f>
        <v>-7.1800000000000003E-2</v>
      </c>
      <c r="I48" s="12">
        <f>IF(VLOOKUP($A48,값!$A:$W,MATCH(Main!I$1,값!$2:$2,0),0)="",NA(),VLOOKUP($A48,값!$A:$W,MATCH(Main!I$1,값!$2:$2,0),0))</f>
        <v>-0.1002</v>
      </c>
      <c r="J48" s="12">
        <f>IF(VLOOKUP($A48,값!$A:$W,MATCH(Main!J$1,값!$2:$2,0),0)="",NA(),VLOOKUP($A48,값!$A:$W,MATCH(Main!J$1,값!$2:$2,0),0))</f>
        <v>-7.0300000000000001E-2</v>
      </c>
      <c r="K48" s="12">
        <f>IF(VLOOKUP($A48,값!$A:$W,MATCH(Main!K$1,값!$2:$2,0),0)="",NA(),VLOOKUP($A48,값!$A:$W,MATCH(Main!K$1,값!$2:$2,0),0))</f>
        <v>-3.9074655582468365E-2</v>
      </c>
      <c r="L48" s="12">
        <f>IF(VLOOKUP($A48,값!$A:$W,MATCH(Main!L$1,값!$2:$2,0),0)="",NA(),VLOOKUP($A48,값!$A:$W,MATCH(Main!L$1,값!$2:$2,0),0))</f>
        <v>-8.0940000000000005E-3</v>
      </c>
      <c r="M48" s="12">
        <f>IF(VLOOKUP($A48,값!$A:$W,MATCH(Main!M$1,값!$2:$2,0),0)="",NA(),VLOOKUP($A48,값!$A:$W,MATCH(Main!M$1,값!$2:$2,0),0))</f>
        <v>3.5000000000000001E-3</v>
      </c>
      <c r="N48" s="12">
        <f>IF(VLOOKUP($A48,값!$A:$W,MATCH(Main!N$1,값!$2:$2,0),0)="",NA(),VLOOKUP($A48,값!$A:$W,MATCH(Main!N$1,값!$2:$2,0),0))</f>
        <v>-8.0940000000000005E-3</v>
      </c>
      <c r="O48" s="12" t="e">
        <f>IF(VLOOKUP($A48,값!$A:$W,MATCH(Main!O$1,값!$2:$2,0),0)="",NA(),VLOOKUP($A48,값!$A:$W,MATCH(Main!O$1,값!$2:$2,0),0))</f>
        <v>#N/A</v>
      </c>
      <c r="P48" s="12" t="e">
        <f>IF(VLOOKUP($A48,값!$A:$W,MATCH(Main!P$1,값!$2:$2,0),0)="",NA(),VLOOKUP($A48,값!$A:$W,MATCH(Main!P$1,값!$2:$2,0),0))</f>
        <v>#N/A</v>
      </c>
      <c r="Q48" s="12">
        <f>IF(VLOOKUP($A48,값!$A:$W,MATCH(Main!Q$1,값!$2:$2,0),0)="",NA(),VLOOKUP($A48,값!$A:$W,MATCH(Main!Q$1,값!$2:$2,0),0))</f>
        <v>-0.17301166042657556</v>
      </c>
      <c r="R48" s="12">
        <f>IF(VLOOKUP($A48,값!$A:$W,MATCH(Main!R$1,값!$2:$2,0),0)="",NA(),VLOOKUP($A48,값!$A:$W,MATCH(Main!R$1,값!$2:$2,0),0))</f>
        <v>-0.1074</v>
      </c>
      <c r="S48" s="12">
        <f>IF(VLOOKUP($A48,값!$A:$W,MATCH(Main!S$1,값!$2:$2,0),0)="",NA(),VLOOKUP($A48,값!$A:$W,MATCH(Main!S$1,값!$2:$2,0),0))</f>
        <v>-0.1074</v>
      </c>
      <c r="T48" s="12">
        <f>IF(VLOOKUP($A48,값!$A:$W,MATCH(Main!T$1,값!$2:$2,0),0)="",NA(),VLOOKUP($A48,값!$A:$W,MATCH(Main!T$1,값!$2:$2,0),0))</f>
        <v>-0.1074</v>
      </c>
      <c r="U48" s="12">
        <f>IF(VLOOKUP($A48,값!$A:$W,MATCH(Main!U$1,값!$2:$2,0),0)="",NA(),VLOOKUP($A48,값!$A:$W,MATCH(Main!U$1,값!$2:$2,0),0))</f>
        <v>-0.1074</v>
      </c>
      <c r="V48" s="12">
        <f>IF(VLOOKUP($A48,값!$A:$W,MATCH(Main!V$1,값!$2:$2,0),0)="",NA(),VLOOKUP($A48,값!$A:$W,MATCH(Main!V$1,값!$2:$2,0),0))</f>
        <v>5.4654349264060542E-2</v>
      </c>
    </row>
    <row r="49" spans="1:22" x14ac:dyDescent="0.2">
      <c r="A49" s="1">
        <v>40908</v>
      </c>
      <c r="B49" s="12">
        <f>IF(VLOOKUP($A49,값!$A:$W,MATCH(Main!B$1,값!$2:$2,0),0)="",NA(),VLOOKUP($A49,값!$A:$W,MATCH(Main!B$1,값!$2:$2,0),0))</f>
        <v>3.5499999999999997E-2</v>
      </c>
      <c r="C49" s="12">
        <f>IF(VLOOKUP($A49,값!$A:$W,MATCH(Main!C$1,값!$2:$2,0),0)="",NA(),VLOOKUP($A49,값!$A:$W,MATCH(Main!C$1,값!$2:$2,0),0))</f>
        <v>2.64E-2</v>
      </c>
      <c r="D49" s="12">
        <f>IF(VLOOKUP($A49,값!$A:$W,MATCH(Main!D$1,값!$2:$2,0),0)="",NA(),VLOOKUP($A49,값!$A:$W,MATCH(Main!D$1,값!$2:$2,0),0))</f>
        <v>2.64E-2</v>
      </c>
      <c r="E49" s="12">
        <f>IF(VLOOKUP($A49,값!$A:$W,MATCH(Main!E$1,값!$2:$2,0),0)="",NA(),VLOOKUP($A49,값!$A:$W,MATCH(Main!E$1,값!$2:$2,0),0))</f>
        <v>1.9699999999999999E-2</v>
      </c>
      <c r="F49" s="12">
        <f>IF(VLOOKUP($A49,값!$A:$W,MATCH(Main!F$1,값!$2:$2,0),0)="",NA(),VLOOKUP($A49,값!$A:$W,MATCH(Main!F$1,값!$2:$2,0),0))</f>
        <v>1.32E-2</v>
      </c>
      <c r="G49" s="12">
        <f>IF(VLOOKUP($A49,값!$A:$W,MATCH(Main!G$1,값!$2:$2,0),0)="",NA(),VLOOKUP($A49,값!$A:$W,MATCH(Main!G$1,값!$2:$2,0),0))</f>
        <v>1.9699999999999999E-2</v>
      </c>
      <c r="H49" s="12">
        <f>IF(VLOOKUP($A49,값!$A:$W,MATCH(Main!H$1,값!$2:$2,0),0)="",NA(),VLOOKUP($A49,값!$A:$W,MATCH(Main!H$1,값!$2:$2,0),0))</f>
        <v>4.6300000000000001E-2</v>
      </c>
      <c r="I49" s="12">
        <f>IF(VLOOKUP($A49,값!$A:$W,MATCH(Main!I$1,값!$2:$2,0),0)="",NA(),VLOOKUP($A49,값!$A:$W,MATCH(Main!I$1,값!$2:$2,0),0))</f>
        <v>3.5799999999999998E-2</v>
      </c>
      <c r="J49" s="12">
        <f>IF(VLOOKUP($A49,값!$A:$W,MATCH(Main!J$1,값!$2:$2,0),0)="",NA(),VLOOKUP($A49,값!$A:$W,MATCH(Main!J$1,값!$2:$2,0),0))</f>
        <v>4.7000000000000002E-3</v>
      </c>
      <c r="K49" s="12">
        <f>IF(VLOOKUP($A49,값!$A:$W,MATCH(Main!K$1,값!$2:$2,0),0)="",NA(),VLOOKUP($A49,값!$A:$W,MATCH(Main!K$1,값!$2:$2,0),0))</f>
        <v>5.8166589111219302E-4</v>
      </c>
      <c r="L49" s="12">
        <f>IF(VLOOKUP($A49,값!$A:$W,MATCH(Main!L$1,값!$2:$2,0),0)="",NA(),VLOOKUP($A49,값!$A:$W,MATCH(Main!L$1,값!$2:$2,0),0))</f>
        <v>3.2948999999999999E-2</v>
      </c>
      <c r="M49" s="12">
        <f>IF(VLOOKUP($A49,값!$A:$W,MATCH(Main!M$1,값!$2:$2,0),0)="",NA(),VLOOKUP($A49,값!$A:$W,MATCH(Main!M$1,값!$2:$2,0),0))</f>
        <v>3.7900000000000003E-2</v>
      </c>
      <c r="N49" s="12">
        <f>IF(VLOOKUP($A49,값!$A:$W,MATCH(Main!N$1,값!$2:$2,0),0)="",NA(),VLOOKUP($A49,값!$A:$W,MATCH(Main!N$1,값!$2:$2,0),0))</f>
        <v>3.2948999999999999E-2</v>
      </c>
      <c r="O49" s="12" t="e">
        <f>IF(VLOOKUP($A49,값!$A:$W,MATCH(Main!O$1,값!$2:$2,0),0)="",NA(),VLOOKUP($A49,값!$A:$W,MATCH(Main!O$1,값!$2:$2,0),0))</f>
        <v>#N/A</v>
      </c>
      <c r="P49" s="12" t="e">
        <f>IF(VLOOKUP($A49,값!$A:$W,MATCH(Main!P$1,값!$2:$2,0),0)="",NA(),VLOOKUP($A49,값!$A:$W,MATCH(Main!P$1,값!$2:$2,0),0))</f>
        <v>#N/A</v>
      </c>
      <c r="Q49" s="12">
        <f>IF(VLOOKUP($A49,값!$A:$W,MATCH(Main!Q$1,값!$2:$2,0),0)="",NA(),VLOOKUP($A49,값!$A:$W,MATCH(Main!Q$1,값!$2:$2,0),0))</f>
        <v>7.36300295022283E-2</v>
      </c>
      <c r="R49" s="12">
        <f>IF(VLOOKUP($A49,값!$A:$W,MATCH(Main!R$1,값!$2:$2,0),0)="",NA(),VLOOKUP($A49,값!$A:$W,MATCH(Main!R$1,값!$2:$2,0),0))</f>
        <v>1.37E-2</v>
      </c>
      <c r="S49" s="12">
        <f>IF(VLOOKUP($A49,값!$A:$W,MATCH(Main!S$1,값!$2:$2,0),0)="",NA(),VLOOKUP($A49,값!$A:$W,MATCH(Main!S$1,값!$2:$2,0),0))</f>
        <v>1.37E-2</v>
      </c>
      <c r="T49" s="12">
        <f>IF(VLOOKUP($A49,값!$A:$W,MATCH(Main!T$1,값!$2:$2,0),0)="",NA(),VLOOKUP($A49,값!$A:$W,MATCH(Main!T$1,값!$2:$2,0),0))</f>
        <v>1.37E-2</v>
      </c>
      <c r="U49" s="12">
        <f>IF(VLOOKUP($A49,값!$A:$W,MATCH(Main!U$1,값!$2:$2,0),0)="",NA(),VLOOKUP($A49,값!$A:$W,MATCH(Main!U$1,값!$2:$2,0),0))</f>
        <v>1.37E-2</v>
      </c>
      <c r="V49" s="12">
        <f>IF(VLOOKUP($A49,값!$A:$W,MATCH(Main!V$1,값!$2:$2,0),0)="",NA(),VLOOKUP($A49,값!$A:$W,MATCH(Main!V$1,값!$2:$2,0),0))</f>
        <v>2.5498018167156689E-2</v>
      </c>
    </row>
    <row r="50" spans="1:22" x14ac:dyDescent="0.2">
      <c r="A50" s="1">
        <v>40999</v>
      </c>
      <c r="B50" s="12">
        <f>IF(VLOOKUP($A50,값!$A:$W,MATCH(Main!B$1,값!$2:$2,0),0)="",NA(),VLOOKUP($A50,값!$A:$W,MATCH(Main!B$1,값!$2:$2,0),0))</f>
        <v>6.2399999999999997E-2</v>
      </c>
      <c r="C50" s="12">
        <f>IF(VLOOKUP($A50,값!$A:$W,MATCH(Main!C$1,값!$2:$2,0),0)="",NA(),VLOOKUP($A50,값!$A:$W,MATCH(Main!C$1,값!$2:$2,0),0))</f>
        <v>5.0799999999999998E-2</v>
      </c>
      <c r="D50" s="12">
        <f>IF(VLOOKUP($A50,값!$A:$W,MATCH(Main!D$1,값!$2:$2,0),0)="",NA(),VLOOKUP($A50,값!$A:$W,MATCH(Main!D$1,값!$2:$2,0),0))</f>
        <v>5.0799999999999998E-2</v>
      </c>
      <c r="E50" s="12">
        <f>IF(VLOOKUP($A50,값!$A:$W,MATCH(Main!E$1,값!$2:$2,0),0)="",NA(),VLOOKUP($A50,값!$A:$W,MATCH(Main!E$1,값!$2:$2,0),0))</f>
        <v>2.6100000000000002E-2</v>
      </c>
      <c r="F50" s="12">
        <f>IF(VLOOKUP($A50,값!$A:$W,MATCH(Main!F$1,값!$2:$2,0),0)="",NA(),VLOOKUP($A50,값!$A:$W,MATCH(Main!F$1,값!$2:$2,0),0))</f>
        <v>3.9E-2</v>
      </c>
      <c r="G50" s="12">
        <f>IF(VLOOKUP($A50,값!$A:$W,MATCH(Main!G$1,값!$2:$2,0),0)="",NA(),VLOOKUP($A50,값!$A:$W,MATCH(Main!G$1,값!$2:$2,0),0))</f>
        <v>2.6100000000000002E-2</v>
      </c>
      <c r="H50" s="12">
        <f>IF(VLOOKUP($A50,값!$A:$W,MATCH(Main!H$1,값!$2:$2,0),0)="",NA(),VLOOKUP($A50,값!$A:$W,MATCH(Main!H$1,값!$2:$2,0),0))</f>
        <v>5.8400000000000001E-2</v>
      </c>
      <c r="I50" s="12">
        <f>IF(VLOOKUP($A50,값!$A:$W,MATCH(Main!I$1,값!$2:$2,0),0)="",NA(),VLOOKUP($A50,값!$A:$W,MATCH(Main!I$1,값!$2:$2,0),0))</f>
        <v>7.2599999999999998E-2</v>
      </c>
      <c r="J50" s="12">
        <f>IF(VLOOKUP($A50,값!$A:$W,MATCH(Main!J$1,값!$2:$2,0),0)="",NA(),VLOOKUP($A50,값!$A:$W,MATCH(Main!J$1,값!$2:$2,0),0))</f>
        <v>4.9000000000000002E-2</v>
      </c>
      <c r="K50" s="12">
        <f>IF(VLOOKUP($A50,값!$A:$W,MATCH(Main!K$1,값!$2:$2,0),0)="",NA(),VLOOKUP($A50,값!$A:$W,MATCH(Main!K$1,값!$2:$2,0),0))</f>
        <v>2.4743050572441527E-2</v>
      </c>
      <c r="L50" s="12">
        <f>IF(VLOOKUP($A50,값!$A:$W,MATCH(Main!L$1,값!$2:$2,0),0)="",NA(),VLOOKUP($A50,값!$A:$W,MATCH(Main!L$1,값!$2:$2,0),0))</f>
        <v>3.0824000000000001E-2</v>
      </c>
      <c r="M50" s="12">
        <f>IF(VLOOKUP($A50,값!$A:$W,MATCH(Main!M$1,값!$2:$2,0),0)="",NA(),VLOOKUP($A50,값!$A:$W,MATCH(Main!M$1,값!$2:$2,0),0))</f>
        <v>2.29E-2</v>
      </c>
      <c r="N50" s="12">
        <f>IF(VLOOKUP($A50,값!$A:$W,MATCH(Main!N$1,값!$2:$2,0),0)="",NA(),VLOOKUP($A50,값!$A:$W,MATCH(Main!N$1,값!$2:$2,0),0))</f>
        <v>3.0824000000000001E-2</v>
      </c>
      <c r="O50" s="12">
        <f>IF(VLOOKUP($A50,값!$A:$W,MATCH(Main!O$1,값!$2:$2,0),0)="",NA(),VLOOKUP($A50,값!$A:$W,MATCH(Main!O$1,값!$2:$2,0),0))</f>
        <v>7.2890000000000003E-3</v>
      </c>
      <c r="P50" s="12">
        <f>IF(VLOOKUP($A50,값!$A:$W,MATCH(Main!P$1,값!$2:$2,0),0)="",NA(),VLOOKUP($A50,값!$A:$W,MATCH(Main!P$1,값!$2:$2,0),0))</f>
        <v>1.7165400000000001E-2</v>
      </c>
      <c r="Q50" s="12">
        <f>IF(VLOOKUP($A50,값!$A:$W,MATCH(Main!Q$1,값!$2:$2,0),0)="",NA(),VLOOKUP($A50,값!$A:$W,MATCH(Main!Q$1,값!$2:$2,0),0))</f>
        <v>0.12897202408793285</v>
      </c>
      <c r="R50" s="12">
        <f>IF(VLOOKUP($A50,값!$A:$W,MATCH(Main!R$1,값!$2:$2,0),0)="",NA(),VLOOKUP($A50,값!$A:$W,MATCH(Main!R$1,값!$2:$2,0),0))</f>
        <v>8.77E-2</v>
      </c>
      <c r="S50" s="12">
        <f>IF(VLOOKUP($A50,값!$A:$W,MATCH(Main!S$1,값!$2:$2,0),0)="",NA(),VLOOKUP($A50,값!$A:$W,MATCH(Main!S$1,값!$2:$2,0),0))</f>
        <v>8.77E-2</v>
      </c>
      <c r="T50" s="12">
        <f>IF(VLOOKUP($A50,값!$A:$W,MATCH(Main!T$1,값!$2:$2,0),0)="",NA(),VLOOKUP($A50,값!$A:$W,MATCH(Main!T$1,값!$2:$2,0),0))</f>
        <v>8.77E-2</v>
      </c>
      <c r="U50" s="12">
        <f>IF(VLOOKUP($A50,값!$A:$W,MATCH(Main!U$1,값!$2:$2,0),0)="",NA(),VLOOKUP($A50,값!$A:$W,MATCH(Main!U$1,값!$2:$2,0),0))</f>
        <v>8.77E-2</v>
      </c>
      <c r="V50" s="12">
        <f>IF(VLOOKUP($A50,값!$A:$W,MATCH(Main!V$1,값!$2:$2,0),0)="",NA(),VLOOKUP($A50,값!$A:$W,MATCH(Main!V$1,값!$2:$2,0),0))</f>
        <v>4.8578104405478939E-3</v>
      </c>
    </row>
    <row r="51" spans="1:22" x14ac:dyDescent="0.2">
      <c r="A51" s="1">
        <v>41090</v>
      </c>
      <c r="B51" s="12">
        <f>IF(VLOOKUP($A51,값!$A:$W,MATCH(Main!B$1,값!$2:$2,0),0)="",NA(),VLOOKUP($A51,값!$A:$W,MATCH(Main!B$1,값!$2:$2,0),0))</f>
        <v>-2.7000000000000001E-3</v>
      </c>
      <c r="C51" s="12">
        <f>IF(VLOOKUP($A51,값!$A:$W,MATCH(Main!C$1,값!$2:$2,0),0)="",NA(),VLOOKUP($A51,값!$A:$W,MATCH(Main!C$1,값!$2:$2,0),0))</f>
        <v>-1E-3</v>
      </c>
      <c r="D51" s="12">
        <f>IF(VLOOKUP($A51,값!$A:$W,MATCH(Main!D$1,값!$2:$2,0),0)="",NA(),VLOOKUP($A51,값!$A:$W,MATCH(Main!D$1,값!$2:$2,0),0))</f>
        <v>-1E-3</v>
      </c>
      <c r="E51" s="12">
        <f>IF(VLOOKUP($A51,값!$A:$W,MATCH(Main!E$1,값!$2:$2,0),0)="",NA(),VLOOKUP($A51,값!$A:$W,MATCH(Main!E$1,값!$2:$2,0),0))</f>
        <v>1.9599999999999999E-2</v>
      </c>
      <c r="F51" s="12">
        <f>IF(VLOOKUP($A51,값!$A:$W,MATCH(Main!F$1,값!$2:$2,0),0)="",NA(),VLOOKUP($A51,값!$A:$W,MATCH(Main!F$1,값!$2:$2,0),0))</f>
        <v>4.0000000000000001E-3</v>
      </c>
      <c r="G51" s="12">
        <f>IF(VLOOKUP($A51,값!$A:$W,MATCH(Main!G$1,값!$2:$2,0),0)="",NA(),VLOOKUP($A51,값!$A:$W,MATCH(Main!G$1,값!$2:$2,0),0))</f>
        <v>1.9599999999999999E-2</v>
      </c>
      <c r="H51" s="12">
        <f>IF(VLOOKUP($A51,값!$A:$W,MATCH(Main!H$1,값!$2:$2,0),0)="",NA(),VLOOKUP($A51,값!$A:$W,MATCH(Main!H$1,값!$2:$2,0),0))</f>
        <v>4.0000000000000001E-3</v>
      </c>
      <c r="I51" s="12">
        <f>IF(VLOOKUP($A51,값!$A:$W,MATCH(Main!I$1,값!$2:$2,0),0)="",NA(),VLOOKUP($A51,값!$A:$W,MATCH(Main!I$1,값!$2:$2,0),0))</f>
        <v>5.8999999999999999E-3</v>
      </c>
      <c r="J51" s="12">
        <f>IF(VLOOKUP($A51,값!$A:$W,MATCH(Main!J$1,값!$2:$2,0),0)="",NA(),VLOOKUP($A51,값!$A:$W,MATCH(Main!J$1,값!$2:$2,0),0))</f>
        <v>-2.1600000000000001E-2</v>
      </c>
      <c r="K51" s="12">
        <f>IF(VLOOKUP($A51,값!$A:$W,MATCH(Main!K$1,값!$2:$2,0),0)="",NA(),VLOOKUP($A51,값!$A:$W,MATCH(Main!K$1,값!$2:$2,0),0))</f>
        <v>-1.7289387505397991E-2</v>
      </c>
      <c r="L51" s="12">
        <f>IF(VLOOKUP($A51,값!$A:$W,MATCH(Main!L$1,값!$2:$2,0),0)="",NA(),VLOOKUP($A51,값!$A:$W,MATCH(Main!L$1,값!$2:$2,0),0))</f>
        <v>9.0939999999999997E-3</v>
      </c>
      <c r="M51" s="12">
        <f>IF(VLOOKUP($A51,값!$A:$W,MATCH(Main!M$1,값!$2:$2,0),0)="",NA(),VLOOKUP($A51,값!$A:$W,MATCH(Main!M$1,값!$2:$2,0),0))</f>
        <v>1.44E-2</v>
      </c>
      <c r="N51" s="12">
        <f>IF(VLOOKUP($A51,값!$A:$W,MATCH(Main!N$1,값!$2:$2,0),0)="",NA(),VLOOKUP($A51,값!$A:$W,MATCH(Main!N$1,값!$2:$2,0),0))</f>
        <v>9.0939999999999997E-3</v>
      </c>
      <c r="O51" s="12">
        <f>IF(VLOOKUP($A51,값!$A:$W,MATCH(Main!O$1,값!$2:$2,0),0)="",NA(),VLOOKUP($A51,값!$A:$W,MATCH(Main!O$1,값!$2:$2,0),0))</f>
        <v>7.4209999999999996E-3</v>
      </c>
      <c r="P51" s="12">
        <f>IF(VLOOKUP($A51,값!$A:$W,MATCH(Main!P$1,값!$2:$2,0),0)="",NA(),VLOOKUP($A51,값!$A:$W,MATCH(Main!P$1,값!$2:$2,0),0))</f>
        <v>2.3141700000000001E-2</v>
      </c>
      <c r="Q51" s="12">
        <f>IF(VLOOKUP($A51,값!$A:$W,MATCH(Main!Q$1,값!$2:$2,0),0)="",NA(),VLOOKUP($A51,값!$A:$W,MATCH(Main!Q$1,값!$2:$2,0),0))</f>
        <v>2.1177567250023399E-2</v>
      </c>
      <c r="R51" s="12">
        <f>IF(VLOOKUP($A51,값!$A:$W,MATCH(Main!R$1,값!$2:$2,0),0)="",NA(),VLOOKUP($A51,값!$A:$W,MATCH(Main!R$1,값!$2:$2,0),0))</f>
        <v>-5.4999999999999997E-3</v>
      </c>
      <c r="S51" s="12">
        <f>IF(VLOOKUP($A51,값!$A:$W,MATCH(Main!S$1,값!$2:$2,0),0)="",NA(),VLOOKUP($A51,값!$A:$W,MATCH(Main!S$1,값!$2:$2,0),0))</f>
        <v>-5.4999999999999997E-3</v>
      </c>
      <c r="T51" s="12">
        <f>IF(VLOOKUP($A51,값!$A:$W,MATCH(Main!T$1,값!$2:$2,0),0)="",NA(),VLOOKUP($A51,값!$A:$W,MATCH(Main!T$1,값!$2:$2,0),0))</f>
        <v>-5.4999999999999997E-3</v>
      </c>
      <c r="U51" s="12">
        <f>IF(VLOOKUP($A51,값!$A:$W,MATCH(Main!U$1,값!$2:$2,0),0)="",NA(),VLOOKUP($A51,값!$A:$W,MATCH(Main!U$1,값!$2:$2,0),0))</f>
        <v>-5.4999999999999997E-3</v>
      </c>
      <c r="V51" s="12">
        <f>IF(VLOOKUP($A51,값!$A:$W,MATCH(Main!V$1,값!$2:$2,0),0)="",NA(),VLOOKUP($A51,값!$A:$W,MATCH(Main!V$1,값!$2:$2,0),0))</f>
        <v>3.4078770203061604E-2</v>
      </c>
    </row>
    <row r="52" spans="1:22" x14ac:dyDescent="0.2">
      <c r="A52" s="1">
        <v>41182</v>
      </c>
      <c r="B52" s="12">
        <f>IF(VLOOKUP($A52,값!$A:$W,MATCH(Main!B$1,값!$2:$2,0),0)="",NA(),VLOOKUP($A52,값!$A:$W,MATCH(Main!B$1,값!$2:$2,0),0))</f>
        <v>3.6999999999999998E-2</v>
      </c>
      <c r="C52" s="12">
        <f>IF(VLOOKUP($A52,값!$A:$W,MATCH(Main!C$1,값!$2:$2,0),0)="",NA(),VLOOKUP($A52,값!$A:$W,MATCH(Main!C$1,값!$2:$2,0),0))</f>
        <v>8.0000000000000002E-3</v>
      </c>
      <c r="D52" s="12">
        <f>IF(VLOOKUP($A52,값!$A:$W,MATCH(Main!D$1,값!$2:$2,0),0)="",NA(),VLOOKUP($A52,값!$A:$W,MATCH(Main!D$1,값!$2:$2,0),0))</f>
        <v>8.0000000000000002E-3</v>
      </c>
      <c r="E52" s="12">
        <f>IF(VLOOKUP($A52,값!$A:$W,MATCH(Main!E$1,값!$2:$2,0),0)="",NA(),VLOOKUP($A52,값!$A:$W,MATCH(Main!E$1,값!$2:$2,0),0))</f>
        <v>2.6700000000000002E-2</v>
      </c>
      <c r="F52" s="12">
        <f>IF(VLOOKUP($A52,값!$A:$W,MATCH(Main!F$1,값!$2:$2,0),0)="",NA(),VLOOKUP($A52,값!$A:$W,MATCH(Main!F$1,값!$2:$2,0),0))</f>
        <v>2.0400000000000001E-2</v>
      </c>
      <c r="G52" s="12">
        <f>IF(VLOOKUP($A52,값!$A:$W,MATCH(Main!G$1,값!$2:$2,0),0)="",NA(),VLOOKUP($A52,값!$A:$W,MATCH(Main!G$1,값!$2:$2,0),0))</f>
        <v>2.6700000000000002E-2</v>
      </c>
      <c r="H52" s="12">
        <f>IF(VLOOKUP($A52,값!$A:$W,MATCH(Main!H$1,값!$2:$2,0),0)="",NA(),VLOOKUP($A52,값!$A:$W,MATCH(Main!H$1,값!$2:$2,0),0))</f>
        <v>6.4799999999999996E-2</v>
      </c>
      <c r="I52" s="12">
        <f>IF(VLOOKUP($A52,값!$A:$W,MATCH(Main!I$1,값!$2:$2,0),0)="",NA(),VLOOKUP($A52,값!$A:$W,MATCH(Main!I$1,값!$2:$2,0),0))</f>
        <v>5.0700000000000002E-2</v>
      </c>
      <c r="J52" s="12">
        <f>IF(VLOOKUP($A52,값!$A:$W,MATCH(Main!J$1,값!$2:$2,0),0)="",NA(),VLOOKUP($A52,값!$A:$W,MATCH(Main!J$1,값!$2:$2,0),0))</f>
        <v>3.5400000000000001E-2</v>
      </c>
      <c r="K52" s="12">
        <f>IF(VLOOKUP($A52,값!$A:$W,MATCH(Main!K$1,값!$2:$2,0),0)="",NA(),VLOOKUP($A52,값!$A:$W,MATCH(Main!K$1,값!$2:$2,0),0))</f>
        <v>1.8153294429783751E-2</v>
      </c>
      <c r="L52" s="12">
        <f>IF(VLOOKUP($A52,값!$A:$W,MATCH(Main!L$1,값!$2:$2,0),0)="",NA(),VLOOKUP($A52,값!$A:$W,MATCH(Main!L$1,값!$2:$2,0),0))</f>
        <v>2.7383000000000001E-2</v>
      </c>
      <c r="M52" s="12">
        <f>IF(VLOOKUP($A52,값!$A:$W,MATCH(Main!M$1,값!$2:$2,0),0)="",NA(),VLOOKUP($A52,값!$A:$W,MATCH(Main!M$1,값!$2:$2,0),0))</f>
        <v>2.3800000000000002E-2</v>
      </c>
      <c r="N52" s="12">
        <f>IF(VLOOKUP($A52,값!$A:$W,MATCH(Main!N$1,값!$2:$2,0),0)="",NA(),VLOOKUP($A52,값!$A:$W,MATCH(Main!N$1,값!$2:$2,0),0))</f>
        <v>2.7383000000000001E-2</v>
      </c>
      <c r="O52" s="12">
        <f>IF(VLOOKUP($A52,값!$A:$W,MATCH(Main!O$1,값!$2:$2,0),0)="",NA(),VLOOKUP($A52,값!$A:$W,MATCH(Main!O$1,값!$2:$2,0),0))</f>
        <v>1.1528E-2</v>
      </c>
      <c r="P52" s="12">
        <f>IF(VLOOKUP($A52,값!$A:$W,MATCH(Main!P$1,값!$2:$2,0),0)="",NA(),VLOOKUP($A52,값!$A:$W,MATCH(Main!P$1,값!$2:$2,0),0))</f>
        <v>1.7738799999999999E-2</v>
      </c>
      <c r="Q52" s="12">
        <f>IF(VLOOKUP($A52,값!$A:$W,MATCH(Main!Q$1,값!$2:$2,0),0)="",NA(),VLOOKUP($A52,값!$A:$W,MATCH(Main!Q$1,값!$2:$2,0),0))</f>
        <v>5.5058288061565319E-2</v>
      </c>
      <c r="R52" s="12">
        <f>IF(VLOOKUP($A52,값!$A:$W,MATCH(Main!R$1,값!$2:$2,0),0)="",NA(),VLOOKUP($A52,값!$A:$W,MATCH(Main!R$1,값!$2:$2,0),0))</f>
        <v>3.0599999999999999E-2</v>
      </c>
      <c r="S52" s="12">
        <f>IF(VLOOKUP($A52,값!$A:$W,MATCH(Main!S$1,값!$2:$2,0),0)="",NA(),VLOOKUP($A52,값!$A:$W,MATCH(Main!S$1,값!$2:$2,0),0))</f>
        <v>3.0599999999999999E-2</v>
      </c>
      <c r="T52" s="12">
        <f>IF(VLOOKUP($A52,값!$A:$W,MATCH(Main!T$1,값!$2:$2,0),0)="",NA(),VLOOKUP($A52,값!$A:$W,MATCH(Main!T$1,값!$2:$2,0),0))</f>
        <v>3.0599999999999999E-2</v>
      </c>
      <c r="U52" s="12">
        <f>IF(VLOOKUP($A52,값!$A:$W,MATCH(Main!U$1,값!$2:$2,0),0)="",NA(),VLOOKUP($A52,값!$A:$W,MATCH(Main!U$1,값!$2:$2,0),0))</f>
        <v>3.0599999999999999E-2</v>
      </c>
      <c r="V52" s="12">
        <f>IF(VLOOKUP($A52,값!$A:$W,MATCH(Main!V$1,값!$2:$2,0),0)="",NA(),VLOOKUP($A52,값!$A:$W,MATCH(Main!V$1,값!$2:$2,0),0))</f>
        <v>4.147687961254598E-2</v>
      </c>
    </row>
    <row r="53" spans="1:22" x14ac:dyDescent="0.2">
      <c r="A53" s="1">
        <v>41274</v>
      </c>
      <c r="B53" s="12">
        <f>IF(VLOOKUP($A53,값!$A:$W,MATCH(Main!B$1,값!$2:$2,0),0)="",NA(),VLOOKUP($A53,값!$A:$W,MATCH(Main!B$1,값!$2:$2,0),0))</f>
        <v>4.48E-2</v>
      </c>
      <c r="C53" s="12">
        <f>IF(VLOOKUP($A53,값!$A:$W,MATCH(Main!C$1,값!$2:$2,0),0)="",NA(),VLOOKUP($A53,값!$A:$W,MATCH(Main!C$1,값!$2:$2,0),0))</f>
        <v>3.1E-2</v>
      </c>
      <c r="D53" s="12">
        <f>IF(VLOOKUP($A53,값!$A:$W,MATCH(Main!D$1,값!$2:$2,0),0)="",NA(),VLOOKUP($A53,값!$A:$W,MATCH(Main!D$1,값!$2:$2,0),0))</f>
        <v>3.1E-2</v>
      </c>
      <c r="E53" s="12">
        <f>IF(VLOOKUP($A53,값!$A:$W,MATCH(Main!E$1,값!$2:$2,0),0)="",NA(),VLOOKUP($A53,값!$A:$W,MATCH(Main!E$1,값!$2:$2,0),0))</f>
        <v>4.7600000000000003E-2</v>
      </c>
      <c r="F53" s="12">
        <f>IF(VLOOKUP($A53,값!$A:$W,MATCH(Main!F$1,값!$2:$2,0),0)="",NA(),VLOOKUP($A53,값!$A:$W,MATCH(Main!F$1,값!$2:$2,0),0))</f>
        <v>2.7199999999999998E-2</v>
      </c>
      <c r="G53" s="12">
        <f>IF(VLOOKUP($A53,값!$A:$W,MATCH(Main!G$1,값!$2:$2,0),0)="",NA(),VLOOKUP($A53,값!$A:$W,MATCH(Main!G$1,값!$2:$2,0),0))</f>
        <v>4.7600000000000003E-2</v>
      </c>
      <c r="H53" s="12">
        <f>IF(VLOOKUP($A53,값!$A:$W,MATCH(Main!H$1,값!$2:$2,0),0)="",NA(),VLOOKUP($A53,값!$A:$W,MATCH(Main!H$1,값!$2:$2,0),0))</f>
        <v>1.6299999999999999E-2</v>
      </c>
      <c r="I53" s="12">
        <f>IF(VLOOKUP($A53,값!$A:$W,MATCH(Main!I$1,값!$2:$2,0),0)="",NA(),VLOOKUP($A53,값!$A:$W,MATCH(Main!I$1,값!$2:$2,0),0))</f>
        <v>2.76E-2</v>
      </c>
      <c r="J53" s="12">
        <f>IF(VLOOKUP($A53,값!$A:$W,MATCH(Main!J$1,값!$2:$2,0),0)="",NA(),VLOOKUP($A53,값!$A:$W,MATCH(Main!J$1,값!$2:$2,0),0))</f>
        <v>5.2600000000000001E-2</v>
      </c>
      <c r="K53" s="12">
        <f>IF(VLOOKUP($A53,값!$A:$W,MATCH(Main!K$1,값!$2:$2,0),0)="",NA(),VLOOKUP($A53,값!$A:$W,MATCH(Main!K$1,값!$2:$2,0),0))</f>
        <v>1.6433410021247985E-2</v>
      </c>
      <c r="L53" s="12">
        <f>IF(VLOOKUP($A53,값!$A:$W,MATCH(Main!L$1,값!$2:$2,0),0)="",NA(),VLOOKUP($A53,값!$A:$W,MATCH(Main!L$1,값!$2:$2,0),0))</f>
        <v>1.8905999999999999E-2</v>
      </c>
      <c r="M53" s="12">
        <f>IF(VLOOKUP($A53,값!$A:$W,MATCH(Main!M$1,값!$2:$2,0),0)="",NA(),VLOOKUP($A53,값!$A:$W,MATCH(Main!M$1,값!$2:$2,0),0))</f>
        <v>3.6999999999999998E-2</v>
      </c>
      <c r="N53" s="12">
        <f>IF(VLOOKUP($A53,값!$A:$W,MATCH(Main!N$1,값!$2:$2,0),0)="",NA(),VLOOKUP($A53,값!$A:$W,MATCH(Main!N$1,값!$2:$2,0),0))</f>
        <v>1.8905999999999999E-2</v>
      </c>
      <c r="O53" s="12">
        <f>IF(VLOOKUP($A53,값!$A:$W,MATCH(Main!O$1,값!$2:$2,0),0)="",NA(),VLOOKUP($A53,값!$A:$W,MATCH(Main!O$1,값!$2:$2,0),0))</f>
        <v>1.9803000000000001E-2</v>
      </c>
      <c r="P53" s="12">
        <f>IF(VLOOKUP($A53,값!$A:$W,MATCH(Main!P$1,값!$2:$2,0),0)="",NA(),VLOOKUP($A53,값!$A:$W,MATCH(Main!P$1,값!$2:$2,0),0))</f>
        <v>2.5990300000000001E-2</v>
      </c>
      <c r="Q53" s="12">
        <f>IF(VLOOKUP($A53,값!$A:$W,MATCH(Main!Q$1,값!$2:$2,0),0)="",NA(),VLOOKUP($A53,값!$A:$W,MATCH(Main!Q$1,값!$2:$2,0),0))</f>
        <v>5.7670643158201473E-2</v>
      </c>
      <c r="R53" s="12">
        <f>IF(VLOOKUP($A53,값!$A:$W,MATCH(Main!R$1,값!$2:$2,0),0)="",NA(),VLOOKUP($A53,값!$A:$W,MATCH(Main!R$1,값!$2:$2,0),0))</f>
        <v>5.4999999999999997E-3</v>
      </c>
      <c r="S53" s="12">
        <f>IF(VLOOKUP($A53,값!$A:$W,MATCH(Main!S$1,값!$2:$2,0),0)="",NA(),VLOOKUP($A53,값!$A:$W,MATCH(Main!S$1,값!$2:$2,0),0))</f>
        <v>5.4999999999999997E-3</v>
      </c>
      <c r="T53" s="12">
        <f>IF(VLOOKUP($A53,값!$A:$W,MATCH(Main!T$1,값!$2:$2,0),0)="",NA(),VLOOKUP($A53,값!$A:$W,MATCH(Main!T$1,값!$2:$2,0),0))</f>
        <v>5.4999999999999997E-3</v>
      </c>
      <c r="U53" s="12">
        <f>IF(VLOOKUP($A53,값!$A:$W,MATCH(Main!U$1,값!$2:$2,0),0)="",NA(),VLOOKUP($A53,값!$A:$W,MATCH(Main!U$1,값!$2:$2,0),0))</f>
        <v>5.4999999999999997E-3</v>
      </c>
      <c r="V53" s="12">
        <f>IF(VLOOKUP($A53,값!$A:$W,MATCH(Main!V$1,값!$2:$2,0),0)="",NA(),VLOOKUP($A53,값!$A:$W,MATCH(Main!V$1,값!$2:$2,0),0))</f>
        <v>1.1544231229090984E-2</v>
      </c>
    </row>
    <row r="54" spans="1:22" x14ac:dyDescent="0.2">
      <c r="A54" s="1">
        <v>41364</v>
      </c>
      <c r="B54" s="12">
        <f>IF(VLOOKUP($A54,값!$A:$W,MATCH(Main!B$1,값!$2:$2,0),0)="",NA(),VLOOKUP($A54,값!$A:$W,MATCH(Main!B$1,값!$2:$2,0),0))</f>
        <v>3.0200000000000001E-2</v>
      </c>
      <c r="C54" s="12">
        <f>IF(VLOOKUP($A54,값!$A:$W,MATCH(Main!C$1,값!$2:$2,0),0)="",NA(),VLOOKUP($A54,값!$A:$W,MATCH(Main!C$1,값!$2:$2,0),0))</f>
        <v>3.73E-2</v>
      </c>
      <c r="D54" s="12">
        <f>IF(VLOOKUP($A54,값!$A:$W,MATCH(Main!D$1,값!$2:$2,0),0)="",NA(),VLOOKUP($A54,값!$A:$W,MATCH(Main!D$1,값!$2:$2,0),0))</f>
        <v>3.73E-2</v>
      </c>
      <c r="E54" s="12">
        <f>IF(VLOOKUP($A54,값!$A:$W,MATCH(Main!E$1,값!$2:$2,0),0)="",NA(),VLOOKUP($A54,값!$A:$W,MATCH(Main!E$1,값!$2:$2,0),0))</f>
        <v>9.2999999999999992E-3</v>
      </c>
      <c r="F54" s="12">
        <f>IF(VLOOKUP($A54,값!$A:$W,MATCH(Main!F$1,값!$2:$2,0),0)="",NA(),VLOOKUP($A54,값!$A:$W,MATCH(Main!F$1,값!$2:$2,0),0))</f>
        <v>1.5699999999999999E-2</v>
      </c>
      <c r="G54" s="12">
        <f>IF(VLOOKUP($A54,값!$A:$W,MATCH(Main!G$1,값!$2:$2,0),0)="",NA(),VLOOKUP($A54,값!$A:$W,MATCH(Main!G$1,값!$2:$2,0),0))</f>
        <v>9.2999999999999992E-3</v>
      </c>
      <c r="H54" s="12">
        <f>IF(VLOOKUP($A54,값!$A:$W,MATCH(Main!H$1,값!$2:$2,0),0)="",NA(),VLOOKUP($A54,값!$A:$W,MATCH(Main!H$1,값!$2:$2,0),0))</f>
        <v>7.6E-3</v>
      </c>
      <c r="I54" s="12">
        <f>IF(VLOOKUP($A54,값!$A:$W,MATCH(Main!I$1,값!$2:$2,0),0)="",NA(),VLOOKUP($A54,값!$A:$W,MATCH(Main!I$1,값!$2:$2,0),0))</f>
        <v>5.4600000000000003E-2</v>
      </c>
      <c r="J54" s="12">
        <f>IF(VLOOKUP($A54,값!$A:$W,MATCH(Main!J$1,값!$2:$2,0),0)="",NA(),VLOOKUP($A54,값!$A:$W,MATCH(Main!J$1,값!$2:$2,0),0))</f>
        <v>3.4599999999999999E-2</v>
      </c>
      <c r="K54" s="12">
        <f>IF(VLOOKUP($A54,값!$A:$W,MATCH(Main!K$1,값!$2:$2,0),0)="",NA(),VLOOKUP($A54,값!$A:$W,MATCH(Main!K$1,값!$2:$2,0),0))</f>
        <v>2.7713703047598237E-2</v>
      </c>
      <c r="L54" s="12">
        <f>IF(VLOOKUP($A54,값!$A:$W,MATCH(Main!L$1,값!$2:$2,0),0)="",NA(),VLOOKUP($A54,값!$A:$W,MATCH(Main!L$1,값!$2:$2,0),0))</f>
        <v>8.9239999999999996E-3</v>
      </c>
      <c r="M54" s="12">
        <f>IF(VLOOKUP($A54,값!$A:$W,MATCH(Main!M$1,값!$2:$2,0),0)="",NA(),VLOOKUP($A54,값!$A:$W,MATCH(Main!M$1,값!$2:$2,0),0))</f>
        <v>2.18E-2</v>
      </c>
      <c r="N54" s="12">
        <f>IF(VLOOKUP($A54,값!$A:$W,MATCH(Main!N$1,값!$2:$2,0),0)="",NA(),VLOOKUP($A54,값!$A:$W,MATCH(Main!N$1,값!$2:$2,0),0))</f>
        <v>8.9239999999999996E-3</v>
      </c>
      <c r="O54" s="12">
        <f>IF(VLOOKUP($A54,값!$A:$W,MATCH(Main!O$1,값!$2:$2,0),0)="",NA(),VLOOKUP($A54,값!$A:$W,MATCH(Main!O$1,값!$2:$2,0),0))</f>
        <v>1.8124999999999999E-2</v>
      </c>
      <c r="P54" s="12">
        <f>IF(VLOOKUP($A54,값!$A:$W,MATCH(Main!P$1,값!$2:$2,0),0)="",NA(),VLOOKUP($A54,값!$A:$W,MATCH(Main!P$1,값!$2:$2,0),0))</f>
        <v>2.5824099999999999E-2</v>
      </c>
      <c r="Q54" s="12">
        <f>IF(VLOOKUP($A54,값!$A:$W,MATCH(Main!Q$1,값!$2:$2,0),0)="",NA(),VLOOKUP($A54,값!$A:$W,MATCH(Main!Q$1,값!$2:$2,0),0))</f>
        <v>6.2609708296645694E-2</v>
      </c>
      <c r="R54" s="12">
        <f>IF(VLOOKUP($A54,값!$A:$W,MATCH(Main!R$1,값!$2:$2,0),0)="",NA(),VLOOKUP($A54,값!$A:$W,MATCH(Main!R$1,값!$2:$2,0),0))</f>
        <v>-1.6299999999999999E-2</v>
      </c>
      <c r="S54" s="12">
        <f>IF(VLOOKUP($A54,값!$A:$W,MATCH(Main!S$1,값!$2:$2,0),0)="",NA(),VLOOKUP($A54,값!$A:$W,MATCH(Main!S$1,값!$2:$2,0),0))</f>
        <v>-1.6299999999999999E-2</v>
      </c>
      <c r="T54" s="12">
        <f>IF(VLOOKUP($A54,값!$A:$W,MATCH(Main!T$1,값!$2:$2,0),0)="",NA(),VLOOKUP($A54,값!$A:$W,MATCH(Main!T$1,값!$2:$2,0),0))</f>
        <v>-1.6299999999999999E-2</v>
      </c>
      <c r="U54" s="12">
        <f>IF(VLOOKUP($A54,값!$A:$W,MATCH(Main!U$1,값!$2:$2,0),0)="",NA(),VLOOKUP($A54,값!$A:$W,MATCH(Main!U$1,값!$2:$2,0),0))</f>
        <v>-1.6299999999999999E-2</v>
      </c>
      <c r="V54" s="12">
        <f>IF(VLOOKUP($A54,값!$A:$W,MATCH(Main!V$1,값!$2:$2,0),0)="",NA(),VLOOKUP($A54,값!$A:$W,MATCH(Main!V$1,값!$2:$2,0),0))</f>
        <v>-3.593100213822531E-3</v>
      </c>
    </row>
    <row r="55" spans="1:22" x14ac:dyDescent="0.2">
      <c r="A55" s="1">
        <v>41455</v>
      </c>
      <c r="B55" s="12">
        <f>IF(VLOOKUP($A55,값!$A:$W,MATCH(Main!B$1,값!$2:$2,0),0)="",NA(),VLOOKUP($A55,값!$A:$W,MATCH(Main!B$1,값!$2:$2,0),0))</f>
        <v>3.5099999999999999E-2</v>
      </c>
      <c r="C55" s="12">
        <f>IF(VLOOKUP($A55,값!$A:$W,MATCH(Main!C$1,값!$2:$2,0),0)="",NA(),VLOOKUP($A55,값!$A:$W,MATCH(Main!C$1,값!$2:$2,0),0))</f>
        <v>4.8399999999999999E-2</v>
      </c>
      <c r="D55" s="12">
        <f>IF(VLOOKUP($A55,값!$A:$W,MATCH(Main!D$1,값!$2:$2,0),0)="",NA(),VLOOKUP($A55,값!$A:$W,MATCH(Main!D$1,값!$2:$2,0),0))</f>
        <v>4.8399999999999999E-2</v>
      </c>
      <c r="E55" s="12">
        <f>IF(VLOOKUP($A55,값!$A:$W,MATCH(Main!E$1,값!$2:$2,0),0)="",NA(),VLOOKUP($A55,값!$A:$W,MATCH(Main!E$1,값!$2:$2,0),0))</f>
        <v>2.29E-2</v>
      </c>
      <c r="F55" s="12">
        <f>IF(VLOOKUP($A55,값!$A:$W,MATCH(Main!F$1,값!$2:$2,0),0)="",NA(),VLOOKUP($A55,값!$A:$W,MATCH(Main!F$1,값!$2:$2,0),0))</f>
        <v>1.9599999999999999E-2</v>
      </c>
      <c r="G55" s="12">
        <f>IF(VLOOKUP($A55,값!$A:$W,MATCH(Main!G$1,값!$2:$2,0),0)="",NA(),VLOOKUP($A55,값!$A:$W,MATCH(Main!G$1,값!$2:$2,0),0))</f>
        <v>2.29E-2</v>
      </c>
      <c r="H55" s="12">
        <f>IF(VLOOKUP($A55,값!$A:$W,MATCH(Main!H$1,값!$2:$2,0),0)="",NA(),VLOOKUP($A55,값!$A:$W,MATCH(Main!H$1,값!$2:$2,0),0))</f>
        <v>3.3999999999999998E-3</v>
      </c>
      <c r="I55" s="12">
        <f>IF(VLOOKUP($A55,값!$A:$W,MATCH(Main!I$1,값!$2:$2,0),0)="",NA(),VLOOKUP($A55,값!$A:$W,MATCH(Main!I$1,값!$2:$2,0),0))</f>
        <v>2.76E-2</v>
      </c>
      <c r="J55" s="12">
        <f>IF(VLOOKUP($A55,값!$A:$W,MATCH(Main!J$1,값!$2:$2,0),0)="",NA(),VLOOKUP($A55,값!$A:$W,MATCH(Main!J$1,값!$2:$2,0),0))</f>
        <v>-1.52E-2</v>
      </c>
      <c r="K55" s="12">
        <f>IF(VLOOKUP($A55,값!$A:$W,MATCH(Main!K$1,값!$2:$2,0),0)="",NA(),VLOOKUP($A55,값!$A:$W,MATCH(Main!K$1,값!$2:$2,0),0))</f>
        <v>8.0896704570532219E-3</v>
      </c>
      <c r="L55" s="12">
        <f>IF(VLOOKUP($A55,값!$A:$W,MATCH(Main!L$1,값!$2:$2,0),0)="",NA(),VLOOKUP($A55,값!$A:$W,MATCH(Main!L$1,값!$2:$2,0),0))</f>
        <v>8.1300000000000003E-4</v>
      </c>
      <c r="M55" s="12">
        <f>IF(VLOOKUP($A55,값!$A:$W,MATCH(Main!M$1,값!$2:$2,0),0)="",NA(),VLOOKUP($A55,값!$A:$W,MATCH(Main!M$1,값!$2:$2,0),0))</f>
        <v>3.4099999999999998E-2</v>
      </c>
      <c r="N55" s="12">
        <f>IF(VLOOKUP($A55,값!$A:$W,MATCH(Main!N$1,값!$2:$2,0),0)="",NA(),VLOOKUP($A55,값!$A:$W,MATCH(Main!N$1,값!$2:$2,0),0))</f>
        <v>8.1300000000000003E-4</v>
      </c>
      <c r="O55" s="12">
        <f>IF(VLOOKUP($A55,값!$A:$W,MATCH(Main!O$1,값!$2:$2,0),0)="",NA(),VLOOKUP($A55,값!$A:$W,MATCH(Main!O$1,값!$2:$2,0),0))</f>
        <v>-1.201E-2</v>
      </c>
      <c r="P55" s="12">
        <f>IF(VLOOKUP($A55,값!$A:$W,MATCH(Main!P$1,값!$2:$2,0),0)="",NA(),VLOOKUP($A55,값!$A:$W,MATCH(Main!P$1,값!$2:$2,0),0))</f>
        <v>1.9364200000000002E-2</v>
      </c>
      <c r="Q55" s="12">
        <f>IF(VLOOKUP($A55,값!$A:$W,MATCH(Main!Q$1,값!$2:$2,0),0)="",NA(),VLOOKUP($A55,값!$A:$W,MATCH(Main!Q$1,값!$2:$2,0),0))</f>
        <v>-3.6299994921320522E-2</v>
      </c>
      <c r="R55" s="12">
        <f>IF(VLOOKUP($A55,값!$A:$W,MATCH(Main!R$1,값!$2:$2,0),0)="",NA(),VLOOKUP($A55,값!$A:$W,MATCH(Main!R$1,값!$2:$2,0),0))</f>
        <v>3.2099999999999997E-2</v>
      </c>
      <c r="S55" s="12">
        <f>IF(VLOOKUP($A55,값!$A:$W,MATCH(Main!S$1,값!$2:$2,0),0)="",NA(),VLOOKUP($A55,값!$A:$W,MATCH(Main!S$1,값!$2:$2,0),0))</f>
        <v>3.2099999999999997E-2</v>
      </c>
      <c r="T55" s="12">
        <f>IF(VLOOKUP($A55,값!$A:$W,MATCH(Main!T$1,값!$2:$2,0),0)="",NA(),VLOOKUP($A55,값!$A:$W,MATCH(Main!T$1,값!$2:$2,0),0))</f>
        <v>3.2099999999999997E-2</v>
      </c>
      <c r="U55" s="12">
        <f>IF(VLOOKUP($A55,값!$A:$W,MATCH(Main!U$1,값!$2:$2,0),0)="",NA(),VLOOKUP($A55,값!$A:$W,MATCH(Main!U$1,값!$2:$2,0),0))</f>
        <v>3.2099999999999997E-2</v>
      </c>
      <c r="V55" s="12">
        <f>IF(VLOOKUP($A55,값!$A:$W,MATCH(Main!V$1,값!$2:$2,0),0)="",NA(),VLOOKUP($A55,값!$A:$W,MATCH(Main!V$1,값!$2:$2,0),0))</f>
        <v>-4.0117481023763224E-2</v>
      </c>
    </row>
    <row r="56" spans="1:22" x14ac:dyDescent="0.2">
      <c r="A56" s="1">
        <v>41547</v>
      </c>
      <c r="B56" s="12">
        <f>IF(VLOOKUP($A56,값!$A:$W,MATCH(Main!B$1,값!$2:$2,0),0)="",NA(),VLOOKUP($A56,값!$A:$W,MATCH(Main!B$1,값!$2:$2,0),0))</f>
        <v>5.6599999999999998E-2</v>
      </c>
      <c r="C56" s="12">
        <f>IF(VLOOKUP($A56,값!$A:$W,MATCH(Main!C$1,값!$2:$2,0),0)="",NA(),VLOOKUP($A56,값!$A:$W,MATCH(Main!C$1,값!$2:$2,0),0))</f>
        <v>8.6099999999999996E-2</v>
      </c>
      <c r="D56" s="12">
        <f>IF(VLOOKUP($A56,값!$A:$W,MATCH(Main!D$1,값!$2:$2,0),0)="",NA(),VLOOKUP($A56,값!$A:$W,MATCH(Main!D$1,값!$2:$2,0),0))</f>
        <v>8.6099999999999996E-2</v>
      </c>
      <c r="E56" s="12">
        <f>IF(VLOOKUP($A56,값!$A:$W,MATCH(Main!E$1,값!$2:$2,0),0)="",NA(),VLOOKUP($A56,값!$A:$W,MATCH(Main!E$1,값!$2:$2,0),0))</f>
        <v>3.73E-2</v>
      </c>
      <c r="F56" s="12">
        <f>IF(VLOOKUP($A56,값!$A:$W,MATCH(Main!F$1,값!$2:$2,0),0)="",NA(),VLOOKUP($A56,값!$A:$W,MATCH(Main!F$1,값!$2:$2,0),0))</f>
        <v>4.4600000000000001E-2</v>
      </c>
      <c r="G56" s="12">
        <f>IF(VLOOKUP($A56,값!$A:$W,MATCH(Main!G$1,값!$2:$2,0),0)="",NA(),VLOOKUP($A56,값!$A:$W,MATCH(Main!G$1,값!$2:$2,0),0))</f>
        <v>3.73E-2</v>
      </c>
      <c r="H56" s="12">
        <f>IF(VLOOKUP($A56,값!$A:$W,MATCH(Main!H$1,값!$2:$2,0),0)="",NA(),VLOOKUP($A56,값!$A:$W,MATCH(Main!H$1,값!$2:$2,0),0))</f>
        <v>4.0599999999999997E-2</v>
      </c>
      <c r="I56" s="12">
        <f>IF(VLOOKUP($A56,값!$A:$W,MATCH(Main!I$1,값!$2:$2,0),0)="",NA(),VLOOKUP($A56,값!$A:$W,MATCH(Main!I$1,값!$2:$2,0),0))</f>
        <v>3.44E-2</v>
      </c>
      <c r="J56" s="12">
        <f>IF(VLOOKUP($A56,값!$A:$W,MATCH(Main!J$1,값!$2:$2,0),0)="",NA(),VLOOKUP($A56,값!$A:$W,MATCH(Main!J$1,값!$2:$2,0),0))</f>
        <v>3.4500000000000003E-2</v>
      </c>
      <c r="K56" s="12">
        <f>IF(VLOOKUP($A56,값!$A:$W,MATCH(Main!K$1,값!$2:$2,0),0)="",NA(),VLOOKUP($A56,값!$A:$W,MATCH(Main!K$1,값!$2:$2,0),0))</f>
        <v>1.2347488662454165E-2</v>
      </c>
      <c r="L56" s="12">
        <f>IF(VLOOKUP($A56,값!$A:$W,MATCH(Main!L$1,값!$2:$2,0),0)="",NA(),VLOOKUP($A56,값!$A:$W,MATCH(Main!L$1,값!$2:$2,0),0))</f>
        <v>4.5817999999999998E-2</v>
      </c>
      <c r="M56" s="12">
        <f>IF(VLOOKUP($A56,값!$A:$W,MATCH(Main!M$1,값!$2:$2,0),0)="",NA(),VLOOKUP($A56,값!$A:$W,MATCH(Main!M$1,값!$2:$2,0),0))</f>
        <v>3.4299999999999997E-2</v>
      </c>
      <c r="N56" s="12">
        <f>IF(VLOOKUP($A56,값!$A:$W,MATCH(Main!N$1,값!$2:$2,0),0)="",NA(),VLOOKUP($A56,값!$A:$W,MATCH(Main!N$1,값!$2:$2,0),0))</f>
        <v>4.5817999999999998E-2</v>
      </c>
      <c r="O56" s="12">
        <f>IF(VLOOKUP($A56,값!$A:$W,MATCH(Main!O$1,값!$2:$2,0),0)="",NA(),VLOOKUP($A56,값!$A:$W,MATCH(Main!O$1,값!$2:$2,0),0))</f>
        <v>1.5674E-2</v>
      </c>
      <c r="P56" s="12">
        <f>IF(VLOOKUP($A56,값!$A:$W,MATCH(Main!P$1,값!$2:$2,0),0)="",NA(),VLOOKUP($A56,값!$A:$W,MATCH(Main!P$1,값!$2:$2,0),0))</f>
        <v>4.7013999999999997E-3</v>
      </c>
      <c r="Q56" s="12">
        <f>IF(VLOOKUP($A56,값!$A:$W,MATCH(Main!Q$1,값!$2:$2,0),0)="",NA(),VLOOKUP($A56,값!$A:$W,MATCH(Main!Q$1,값!$2:$2,0),0))</f>
        <v>2.4399451145485473E-2</v>
      </c>
      <c r="R56" s="12">
        <f>IF(VLOOKUP($A56,값!$A:$W,MATCH(Main!R$1,값!$2:$2,0),0)="",NA(),VLOOKUP($A56,값!$A:$W,MATCH(Main!R$1,값!$2:$2,0),0))</f>
        <v>5.28E-2</v>
      </c>
      <c r="S56" s="12">
        <f>IF(VLOOKUP($A56,값!$A:$W,MATCH(Main!S$1,값!$2:$2,0),0)="",NA(),VLOOKUP($A56,값!$A:$W,MATCH(Main!S$1,값!$2:$2,0),0))</f>
        <v>5.28E-2</v>
      </c>
      <c r="T56" s="12">
        <f>IF(VLOOKUP($A56,값!$A:$W,MATCH(Main!T$1,값!$2:$2,0),0)="",NA(),VLOOKUP($A56,값!$A:$W,MATCH(Main!T$1,값!$2:$2,0),0))</f>
        <v>5.28E-2</v>
      </c>
      <c r="U56" s="12">
        <f>IF(VLOOKUP($A56,값!$A:$W,MATCH(Main!U$1,값!$2:$2,0),0)="",NA(),VLOOKUP($A56,값!$A:$W,MATCH(Main!U$1,값!$2:$2,0),0))</f>
        <v>5.28E-2</v>
      </c>
      <c r="V56" s="12">
        <f>IF(VLOOKUP($A56,값!$A:$W,MATCH(Main!V$1,값!$2:$2,0),0)="",NA(),VLOOKUP($A56,값!$A:$W,MATCH(Main!V$1,값!$2:$2,0),0))</f>
        <v>3.703521206235294E-4</v>
      </c>
    </row>
    <row r="57" spans="1:22" x14ac:dyDescent="0.2">
      <c r="A57" s="1">
        <v>41639</v>
      </c>
      <c r="B57" s="12">
        <f>IF(VLOOKUP($A57,값!$A:$W,MATCH(Main!B$1,값!$2:$2,0),0)="",NA(),VLOOKUP($A57,값!$A:$W,MATCH(Main!B$1,값!$2:$2,0),0))</f>
        <v>7.17E-2</v>
      </c>
      <c r="C57" s="12">
        <f>IF(VLOOKUP($A57,값!$A:$W,MATCH(Main!C$1,값!$2:$2,0),0)="",NA(),VLOOKUP($A57,값!$A:$W,MATCH(Main!C$1,값!$2:$2,0),0))</f>
        <v>9.9299999999999999E-2</v>
      </c>
      <c r="D57" s="12">
        <f>IF(VLOOKUP($A57,값!$A:$W,MATCH(Main!D$1,값!$2:$2,0),0)="",NA(),VLOOKUP($A57,값!$A:$W,MATCH(Main!D$1,값!$2:$2,0),0))</f>
        <v>9.9299999999999999E-2</v>
      </c>
      <c r="E57" s="12">
        <f>IF(VLOOKUP($A57,값!$A:$W,MATCH(Main!E$1,값!$2:$2,0),0)="",NA(),VLOOKUP($A57,값!$A:$W,MATCH(Main!E$1,값!$2:$2,0),0))</f>
        <v>7.4200000000000002E-2</v>
      </c>
      <c r="F57" s="12">
        <f>IF(VLOOKUP($A57,값!$A:$W,MATCH(Main!F$1,값!$2:$2,0),0)="",NA(),VLOOKUP($A57,값!$A:$W,MATCH(Main!F$1,값!$2:$2,0),0))</f>
        <v>7.2400000000000006E-2</v>
      </c>
      <c r="G57" s="12">
        <f>IF(VLOOKUP($A57,값!$A:$W,MATCH(Main!G$1,값!$2:$2,0),0)="",NA(),VLOOKUP($A57,값!$A:$W,MATCH(Main!G$1,값!$2:$2,0),0))</f>
        <v>7.4200000000000002E-2</v>
      </c>
      <c r="H57" s="12">
        <f>IF(VLOOKUP($A57,값!$A:$W,MATCH(Main!H$1,값!$2:$2,0),0)="",NA(),VLOOKUP($A57,값!$A:$W,MATCH(Main!H$1,값!$2:$2,0),0))</f>
        <v>2.8500000000000001E-2</v>
      </c>
      <c r="I57" s="12">
        <f>IF(VLOOKUP($A57,값!$A:$W,MATCH(Main!I$1,값!$2:$2,0),0)="",NA(),VLOOKUP($A57,값!$A:$W,MATCH(Main!I$1,값!$2:$2,0),0))</f>
        <v>4.5100000000000001E-2</v>
      </c>
      <c r="J57" s="12">
        <f>IF(VLOOKUP($A57,값!$A:$W,MATCH(Main!J$1,값!$2:$2,0),0)="",NA(),VLOOKUP($A57,값!$A:$W,MATCH(Main!J$1,값!$2:$2,0),0))</f>
        <v>9.4899999999999998E-2</v>
      </c>
      <c r="K57" s="12">
        <f>IF(VLOOKUP($A57,값!$A:$W,MATCH(Main!K$1,값!$2:$2,0),0)="",NA(),VLOOKUP($A57,값!$A:$W,MATCH(Main!K$1,값!$2:$2,0),0))</f>
        <v>2.6833715310985662E-2</v>
      </c>
      <c r="L57" s="12">
        <f>IF(VLOOKUP($A57,값!$A:$W,MATCH(Main!L$1,값!$2:$2,0),0)="",NA(),VLOOKUP($A57,값!$A:$W,MATCH(Main!L$1,값!$2:$2,0),0))</f>
        <v>2.4718E-2</v>
      </c>
      <c r="M57" s="12">
        <f>IF(VLOOKUP($A57,값!$A:$W,MATCH(Main!M$1,값!$2:$2,0),0)="",NA(),VLOOKUP($A57,값!$A:$W,MATCH(Main!M$1,값!$2:$2,0),0))</f>
        <v>7.2700000000000001E-2</v>
      </c>
      <c r="N57" s="12">
        <f>IF(VLOOKUP($A57,값!$A:$W,MATCH(Main!N$1,값!$2:$2,0),0)="",NA(),VLOOKUP($A57,값!$A:$W,MATCH(Main!N$1,값!$2:$2,0),0))</f>
        <v>2.4718E-2</v>
      </c>
      <c r="O57" s="12">
        <f>IF(VLOOKUP($A57,값!$A:$W,MATCH(Main!O$1,값!$2:$2,0),0)="",NA(),VLOOKUP($A57,값!$A:$W,MATCH(Main!O$1,값!$2:$2,0),0))</f>
        <v>6.9249999999999997E-3</v>
      </c>
      <c r="P57" s="12">
        <f>IF(VLOOKUP($A57,값!$A:$W,MATCH(Main!P$1,값!$2:$2,0),0)="",NA(),VLOOKUP($A57,값!$A:$W,MATCH(Main!P$1,값!$2:$2,0),0))</f>
        <v>3.4450500000000002E-2</v>
      </c>
      <c r="Q57" s="12">
        <f>IF(VLOOKUP($A57,값!$A:$W,MATCH(Main!Q$1,값!$2:$2,0),0)="",NA(),VLOOKUP($A57,값!$A:$W,MATCH(Main!Q$1,값!$2:$2,0),0))</f>
        <v>-4.8931915809595772E-3</v>
      </c>
      <c r="R57" s="12">
        <f>IF(VLOOKUP($A57,값!$A:$W,MATCH(Main!R$1,값!$2:$2,0),0)="",NA(),VLOOKUP($A57,값!$A:$W,MATCH(Main!R$1,값!$2:$2,0),0))</f>
        <v>4.41E-2</v>
      </c>
      <c r="S57" s="12">
        <f>IF(VLOOKUP($A57,값!$A:$W,MATCH(Main!S$1,값!$2:$2,0),0)="",NA(),VLOOKUP($A57,값!$A:$W,MATCH(Main!S$1,값!$2:$2,0),0))</f>
        <v>4.41E-2</v>
      </c>
      <c r="T57" s="12">
        <f>IF(VLOOKUP($A57,값!$A:$W,MATCH(Main!T$1,값!$2:$2,0),0)="",NA(),VLOOKUP($A57,값!$A:$W,MATCH(Main!T$1,값!$2:$2,0),0))</f>
        <v>4.41E-2</v>
      </c>
      <c r="U57" s="12">
        <f>IF(VLOOKUP($A57,값!$A:$W,MATCH(Main!U$1,값!$2:$2,0),0)="",NA(),VLOOKUP($A57,값!$A:$W,MATCH(Main!U$1,값!$2:$2,0),0))</f>
        <v>4.41E-2</v>
      </c>
      <c r="V57" s="12">
        <f>IF(VLOOKUP($A57,값!$A:$W,MATCH(Main!V$1,값!$2:$2,0),0)="",NA(),VLOOKUP($A57,값!$A:$W,MATCH(Main!V$1,값!$2:$2,0),0))</f>
        <v>1.5046936272173239E-2</v>
      </c>
    </row>
    <row r="58" spans="1:22" x14ac:dyDescent="0.2">
      <c r="A58" s="1">
        <v>41729</v>
      </c>
      <c r="B58" s="12">
        <f>IF(VLOOKUP($A58,값!$A:$W,MATCH(Main!B$1,값!$2:$2,0),0)="",NA(),VLOOKUP($A58,값!$A:$W,MATCH(Main!B$1,값!$2:$2,0),0))</f>
        <v>3.39E-2</v>
      </c>
      <c r="C58" s="12">
        <f>IF(VLOOKUP($A58,값!$A:$W,MATCH(Main!C$1,값!$2:$2,0),0)="",NA(),VLOOKUP($A58,값!$A:$W,MATCH(Main!C$1,값!$2:$2,0),0))</f>
        <v>3.5900000000000001E-2</v>
      </c>
      <c r="D58" s="12">
        <f>IF(VLOOKUP($A58,값!$A:$W,MATCH(Main!D$1,값!$2:$2,0),0)="",NA(),VLOOKUP($A58,값!$A:$W,MATCH(Main!D$1,값!$2:$2,0),0))</f>
        <v>3.5900000000000001E-2</v>
      </c>
      <c r="E58" s="12">
        <f>IF(VLOOKUP($A58,값!$A:$W,MATCH(Main!E$1,값!$2:$2,0),0)="",NA(),VLOOKUP($A58,값!$A:$W,MATCH(Main!E$1,값!$2:$2,0),0))</f>
        <v>2.12E-2</v>
      </c>
      <c r="F58" s="12">
        <f>IF(VLOOKUP($A58,값!$A:$W,MATCH(Main!F$1,값!$2:$2,0),0)="",NA(),VLOOKUP($A58,값!$A:$W,MATCH(Main!F$1,값!$2:$2,0),0))</f>
        <v>2.9899999999999999E-2</v>
      </c>
      <c r="G58" s="12">
        <f>IF(VLOOKUP($A58,값!$A:$W,MATCH(Main!G$1,값!$2:$2,0),0)="",NA(),VLOOKUP($A58,값!$A:$W,MATCH(Main!G$1,값!$2:$2,0),0))</f>
        <v>2.12E-2</v>
      </c>
      <c r="H58" s="12">
        <f>IF(VLOOKUP($A58,값!$A:$W,MATCH(Main!H$1,값!$2:$2,0),0)="",NA(),VLOOKUP($A58,값!$A:$W,MATCH(Main!H$1,값!$2:$2,0),0))</f>
        <v>2.93E-2</v>
      </c>
      <c r="I58" s="12">
        <f>IF(VLOOKUP($A58,값!$A:$W,MATCH(Main!I$1,값!$2:$2,0),0)="",NA(),VLOOKUP($A58,값!$A:$W,MATCH(Main!I$1,값!$2:$2,0),0))</f>
        <v>3.3700000000000001E-2</v>
      </c>
      <c r="J58" s="12">
        <f>IF(VLOOKUP($A58,값!$A:$W,MATCH(Main!J$1,값!$2:$2,0),0)="",NA(),VLOOKUP($A58,값!$A:$W,MATCH(Main!J$1,값!$2:$2,0),0))</f>
        <v>3.39E-2</v>
      </c>
      <c r="K58" s="12">
        <f>IF(VLOOKUP($A58,값!$A:$W,MATCH(Main!K$1,값!$2:$2,0),0)="",NA(),VLOOKUP($A58,값!$A:$W,MATCH(Main!K$1,값!$2:$2,0),0))</f>
        <v>1.3043424690165839E-2</v>
      </c>
      <c r="L58" s="12">
        <f>IF(VLOOKUP($A58,값!$A:$W,MATCH(Main!L$1,값!$2:$2,0),0)="",NA(),VLOOKUP($A58,값!$A:$W,MATCH(Main!L$1,값!$2:$2,0),0))</f>
        <v>3.2529000000000002E-2</v>
      </c>
      <c r="M58" s="12">
        <f>IF(VLOOKUP($A58,값!$A:$W,MATCH(Main!M$1,값!$2:$2,0),0)="",NA(),VLOOKUP($A58,값!$A:$W,MATCH(Main!M$1,값!$2:$2,0),0))</f>
        <v>2.4899999999999999E-2</v>
      </c>
      <c r="N58" s="12">
        <f>IF(VLOOKUP($A58,값!$A:$W,MATCH(Main!N$1,값!$2:$2,0),0)="",NA(),VLOOKUP($A58,값!$A:$W,MATCH(Main!N$1,값!$2:$2,0),0))</f>
        <v>3.2529000000000002E-2</v>
      </c>
      <c r="O58" s="12">
        <f>IF(VLOOKUP($A58,값!$A:$W,MATCH(Main!O$1,값!$2:$2,0),0)="",NA(),VLOOKUP($A58,값!$A:$W,MATCH(Main!O$1,값!$2:$2,0),0))</f>
        <v>2.1222000000000001E-2</v>
      </c>
      <c r="P58" s="12">
        <f>IF(VLOOKUP($A58,값!$A:$W,MATCH(Main!P$1,값!$2:$2,0),0)="",NA(),VLOOKUP($A58,값!$A:$W,MATCH(Main!P$1,값!$2:$2,0),0))</f>
        <v>2.50983E-2</v>
      </c>
      <c r="Q58" s="12">
        <f>IF(VLOOKUP($A58,값!$A:$W,MATCH(Main!Q$1,값!$2:$2,0),0)="",NA(),VLOOKUP($A58,값!$A:$W,MATCH(Main!Q$1,값!$2:$2,0),0))</f>
        <v>4.0144230703824002E-2</v>
      </c>
      <c r="R58" s="12">
        <f>IF(VLOOKUP($A58,값!$A:$W,MATCH(Main!R$1,값!$2:$2,0),0)="",NA(),VLOOKUP($A58,값!$A:$W,MATCH(Main!R$1,값!$2:$2,0),0))</f>
        <v>3.4599999999999999E-2</v>
      </c>
      <c r="S58" s="12">
        <f>IF(VLOOKUP($A58,값!$A:$W,MATCH(Main!S$1,값!$2:$2,0),0)="",NA(),VLOOKUP($A58,값!$A:$W,MATCH(Main!S$1,값!$2:$2,0),0))</f>
        <v>3.4599999999999999E-2</v>
      </c>
      <c r="T58" s="12">
        <f>IF(VLOOKUP($A58,값!$A:$W,MATCH(Main!T$1,값!$2:$2,0),0)="",NA(),VLOOKUP($A58,값!$A:$W,MATCH(Main!T$1,값!$2:$2,0),0))</f>
        <v>3.4599999999999999E-2</v>
      </c>
      <c r="U58" s="12">
        <f>IF(VLOOKUP($A58,값!$A:$W,MATCH(Main!U$1,값!$2:$2,0),0)="",NA(),VLOOKUP($A58,값!$A:$W,MATCH(Main!U$1,값!$2:$2,0),0))</f>
        <v>3.4599999999999999E-2</v>
      </c>
      <c r="V58" s="12">
        <f>IF(VLOOKUP($A58,값!$A:$W,MATCH(Main!V$1,값!$2:$2,0),0)="",NA(),VLOOKUP($A58,값!$A:$W,MATCH(Main!V$1,값!$2:$2,0),0))</f>
        <v>3.9413212195969605E-2</v>
      </c>
    </row>
    <row r="59" spans="1:22" x14ac:dyDescent="0.2">
      <c r="A59" s="1">
        <v>41820</v>
      </c>
      <c r="B59" s="12">
        <f>IF(VLOOKUP($A59,값!$A:$W,MATCH(Main!B$1,값!$2:$2,0),0)="",NA(),VLOOKUP($A59,값!$A:$W,MATCH(Main!B$1,값!$2:$2,0),0))</f>
        <v>4.8800000000000003E-2</v>
      </c>
      <c r="C59" s="12">
        <f>IF(VLOOKUP($A59,값!$A:$W,MATCH(Main!C$1,값!$2:$2,0),0)="",NA(),VLOOKUP($A59,값!$A:$W,MATCH(Main!C$1,값!$2:$2,0),0))</f>
        <v>3.7699999999999997E-2</v>
      </c>
      <c r="D59" s="12">
        <f>IF(VLOOKUP($A59,값!$A:$W,MATCH(Main!D$1,값!$2:$2,0),0)="",NA(),VLOOKUP($A59,값!$A:$W,MATCH(Main!D$1,값!$2:$2,0),0))</f>
        <v>3.7699999999999997E-2</v>
      </c>
      <c r="E59" s="12">
        <f>IF(VLOOKUP($A59,값!$A:$W,MATCH(Main!E$1,값!$2:$2,0),0)="",NA(),VLOOKUP($A59,값!$A:$W,MATCH(Main!E$1,값!$2:$2,0),0))</f>
        <v>3.8600000000000002E-2</v>
      </c>
      <c r="F59" s="12">
        <f>IF(VLOOKUP($A59,값!$A:$W,MATCH(Main!F$1,값!$2:$2,0),0)="",NA(),VLOOKUP($A59,값!$A:$W,MATCH(Main!F$1,값!$2:$2,0),0))</f>
        <v>4.8599999999999997E-2</v>
      </c>
      <c r="G59" s="12">
        <f>IF(VLOOKUP($A59,값!$A:$W,MATCH(Main!G$1,값!$2:$2,0),0)="",NA(),VLOOKUP($A59,값!$A:$W,MATCH(Main!G$1,값!$2:$2,0),0))</f>
        <v>3.8600000000000002E-2</v>
      </c>
      <c r="H59" s="12">
        <f>IF(VLOOKUP($A59,값!$A:$W,MATCH(Main!H$1,값!$2:$2,0),0)="",NA(),VLOOKUP($A59,값!$A:$W,MATCH(Main!H$1,값!$2:$2,0),0))</f>
        <v>2.0799999999999999E-2</v>
      </c>
      <c r="I59" s="12">
        <f>IF(VLOOKUP($A59,값!$A:$W,MATCH(Main!I$1,값!$2:$2,0),0)="",NA(),VLOOKUP($A59,값!$A:$W,MATCH(Main!I$1,값!$2:$2,0),0))</f>
        <v>3.3799999999999997E-2</v>
      </c>
      <c r="J59" s="12">
        <f>IF(VLOOKUP($A59,값!$A:$W,MATCH(Main!J$1,값!$2:$2,0),0)="",NA(),VLOOKUP($A59,값!$A:$W,MATCH(Main!J$1,값!$2:$2,0),0))</f>
        <v>4.3700000000000003E-2</v>
      </c>
      <c r="K59" s="12">
        <f>IF(VLOOKUP($A59,값!$A:$W,MATCH(Main!K$1,값!$2:$2,0),0)="",NA(),VLOOKUP($A59,값!$A:$W,MATCH(Main!K$1,값!$2:$2,0),0))</f>
        <v>1.3036976841246162E-2</v>
      </c>
      <c r="L59" s="12">
        <f>IF(VLOOKUP($A59,값!$A:$W,MATCH(Main!L$1,값!$2:$2,0),0)="",NA(),VLOOKUP($A59,값!$A:$W,MATCH(Main!L$1,값!$2:$2,0),0))</f>
        <v>3.7198000000000002E-2</v>
      </c>
      <c r="M59" s="12">
        <f>IF(VLOOKUP($A59,값!$A:$W,MATCH(Main!M$1,값!$2:$2,0),0)="",NA(),VLOOKUP($A59,값!$A:$W,MATCH(Main!M$1,값!$2:$2,0),0))</f>
        <v>4.2000000000000003E-2</v>
      </c>
      <c r="N59" s="12">
        <f>IF(VLOOKUP($A59,값!$A:$W,MATCH(Main!N$1,값!$2:$2,0),0)="",NA(),VLOOKUP($A59,값!$A:$W,MATCH(Main!N$1,값!$2:$2,0),0))</f>
        <v>3.7198000000000002E-2</v>
      </c>
      <c r="O59" s="12">
        <f>IF(VLOOKUP($A59,값!$A:$W,MATCH(Main!O$1,값!$2:$2,0),0)="",NA(),VLOOKUP($A59,값!$A:$W,MATCH(Main!O$1,값!$2:$2,0),0))</f>
        <v>1.8332000000000001E-2</v>
      </c>
      <c r="P59" s="12">
        <f>IF(VLOOKUP($A59,값!$A:$W,MATCH(Main!P$1,값!$2:$2,0),0)="",NA(),VLOOKUP($A59,값!$A:$W,MATCH(Main!P$1,값!$2:$2,0),0))</f>
        <v>1.18294E-2</v>
      </c>
      <c r="Q59" s="12">
        <f>IF(VLOOKUP($A59,값!$A:$W,MATCH(Main!Q$1,값!$2:$2,0),0)="",NA(),VLOOKUP($A59,값!$A:$W,MATCH(Main!Q$1,값!$2:$2,0),0))</f>
        <v>7.8758761335390393E-2</v>
      </c>
      <c r="R59" s="12">
        <f>IF(VLOOKUP($A59,값!$A:$W,MATCH(Main!R$1,값!$2:$2,0),0)="",NA(),VLOOKUP($A59,값!$A:$W,MATCH(Main!R$1,값!$2:$2,0),0))</f>
        <v>2.0799999999999999E-2</v>
      </c>
      <c r="S59" s="12">
        <f>IF(VLOOKUP($A59,값!$A:$W,MATCH(Main!S$1,값!$2:$2,0),0)="",NA(),VLOOKUP($A59,값!$A:$W,MATCH(Main!S$1,값!$2:$2,0),0))</f>
        <v>2.0799999999999999E-2</v>
      </c>
      <c r="T59" s="12">
        <f>IF(VLOOKUP($A59,값!$A:$W,MATCH(Main!T$1,값!$2:$2,0),0)="",NA(),VLOOKUP($A59,값!$A:$W,MATCH(Main!T$1,값!$2:$2,0),0))</f>
        <v>2.0799999999999999E-2</v>
      </c>
      <c r="U59" s="12">
        <f>IF(VLOOKUP($A59,값!$A:$W,MATCH(Main!U$1,값!$2:$2,0),0)="",NA(),VLOOKUP($A59,값!$A:$W,MATCH(Main!U$1,값!$2:$2,0),0))</f>
        <v>2.0799999999999999E-2</v>
      </c>
      <c r="V59" s="12">
        <f>IF(VLOOKUP($A59,값!$A:$W,MATCH(Main!V$1,값!$2:$2,0),0)="",NA(),VLOOKUP($A59,값!$A:$W,MATCH(Main!V$1,값!$2:$2,0),0))</f>
        <v>3.8051994503115472E-2</v>
      </c>
    </row>
    <row r="60" spans="1:22" x14ac:dyDescent="0.2">
      <c r="A60" s="1">
        <v>41912</v>
      </c>
      <c r="B60" s="12">
        <f>IF(VLOOKUP($A60,값!$A:$W,MATCH(Main!B$1,값!$2:$2,0),0)="",NA(),VLOOKUP($A60,값!$A:$W,MATCH(Main!B$1,값!$2:$2,0),0))</f>
        <v>-8.8000000000000005E-3</v>
      </c>
      <c r="C60" s="12">
        <f>IF(VLOOKUP($A60,값!$A:$W,MATCH(Main!C$1,값!$2:$2,0),0)="",NA(),VLOOKUP($A60,값!$A:$W,MATCH(Main!C$1,값!$2:$2,0),0))</f>
        <v>2.5399999999999999E-2</v>
      </c>
      <c r="D60" s="12">
        <f>IF(VLOOKUP($A60,값!$A:$W,MATCH(Main!D$1,값!$2:$2,0),0)="",NA(),VLOOKUP($A60,값!$A:$W,MATCH(Main!D$1,값!$2:$2,0),0))</f>
        <v>2.5399999999999999E-2</v>
      </c>
      <c r="E60" s="12">
        <f>IF(VLOOKUP($A60,값!$A:$W,MATCH(Main!E$1,값!$2:$2,0),0)="",NA(),VLOOKUP($A60,값!$A:$W,MATCH(Main!E$1,값!$2:$2,0),0))</f>
        <v>1.29E-2</v>
      </c>
      <c r="F60" s="12">
        <f>IF(VLOOKUP($A60,값!$A:$W,MATCH(Main!F$1,값!$2:$2,0),0)="",NA(),VLOOKUP($A60,값!$A:$W,MATCH(Main!F$1,값!$2:$2,0),0))</f>
        <v>2.3E-3</v>
      </c>
      <c r="G60" s="12">
        <f>IF(VLOOKUP($A60,값!$A:$W,MATCH(Main!G$1,값!$2:$2,0),0)="",NA(),VLOOKUP($A60,값!$A:$W,MATCH(Main!G$1,값!$2:$2,0),0))</f>
        <v>1.29E-2</v>
      </c>
      <c r="H60" s="12">
        <f>IF(VLOOKUP($A60,값!$A:$W,MATCH(Main!H$1,값!$2:$2,0),0)="",NA(),VLOOKUP($A60,값!$A:$W,MATCH(Main!H$1,값!$2:$2,0),0))</f>
        <v>-7.1000000000000004E-3</v>
      </c>
      <c r="I60" s="12">
        <f>IF(VLOOKUP($A60,값!$A:$W,MATCH(Main!I$1,값!$2:$2,0),0)="",NA(),VLOOKUP($A60,값!$A:$W,MATCH(Main!I$1,값!$2:$2,0),0))</f>
        <v>-2.1299999999999999E-2</v>
      </c>
      <c r="J60" s="12">
        <f>IF(VLOOKUP($A60,값!$A:$W,MATCH(Main!J$1,값!$2:$2,0),0)="",NA(),VLOOKUP($A60,값!$A:$W,MATCH(Main!J$1,값!$2:$2,0),0))</f>
        <v>3.1399999999999997E-2</v>
      </c>
      <c r="K60" s="12">
        <f>IF(VLOOKUP($A60,값!$A:$W,MATCH(Main!K$1,값!$2:$2,0),0)="",NA(),VLOOKUP($A60,값!$A:$W,MATCH(Main!K$1,값!$2:$2,0),0))</f>
        <v>2.459693422104392E-3</v>
      </c>
      <c r="L60" s="12">
        <f>IF(VLOOKUP($A60,값!$A:$W,MATCH(Main!L$1,값!$2:$2,0),0)="",NA(),VLOOKUP($A60,값!$A:$W,MATCH(Main!L$1,값!$2:$2,0),0))</f>
        <v>2.2070000000000002E-3</v>
      </c>
      <c r="M60" s="12">
        <f>IF(VLOOKUP($A60,값!$A:$W,MATCH(Main!M$1,값!$2:$2,0),0)="",NA(),VLOOKUP($A60,값!$A:$W,MATCH(Main!M$1,값!$2:$2,0),0))</f>
        <v>2.9499999999999998E-2</v>
      </c>
      <c r="N60" s="12">
        <f>IF(VLOOKUP($A60,값!$A:$W,MATCH(Main!N$1,값!$2:$2,0),0)="",NA(),VLOOKUP($A60,값!$A:$W,MATCH(Main!N$1,값!$2:$2,0),0))</f>
        <v>2.2070000000000002E-3</v>
      </c>
      <c r="O60" s="12">
        <f>IF(VLOOKUP($A60,값!$A:$W,MATCH(Main!O$1,값!$2:$2,0),0)="",NA(),VLOOKUP($A60,값!$A:$W,MATCH(Main!O$1,값!$2:$2,0),0))</f>
        <v>1.6004999999999998E-2</v>
      </c>
      <c r="P60" s="12">
        <f>IF(VLOOKUP($A60,값!$A:$W,MATCH(Main!P$1,값!$2:$2,0),0)="",NA(),VLOOKUP($A60,값!$A:$W,MATCH(Main!P$1,값!$2:$2,0),0))</f>
        <v>4.2362299999999999E-2</v>
      </c>
      <c r="Q60" s="12">
        <f>IF(VLOOKUP($A60,값!$A:$W,MATCH(Main!Q$1,값!$2:$2,0),0)="",NA(),VLOOKUP($A60,값!$A:$W,MATCH(Main!Q$1,값!$2:$2,0),0))</f>
        <v>-4.4331275864861741E-2</v>
      </c>
      <c r="R60" s="12">
        <f>IF(VLOOKUP($A60,값!$A:$W,MATCH(Main!R$1,값!$2:$2,0),0)="",NA(),VLOOKUP($A60,값!$A:$W,MATCH(Main!R$1,값!$2:$2,0),0))</f>
        <v>-2.7300000000000001E-2</v>
      </c>
      <c r="S60" s="12">
        <f>IF(VLOOKUP($A60,값!$A:$W,MATCH(Main!S$1,값!$2:$2,0),0)="",NA(),VLOOKUP($A60,값!$A:$W,MATCH(Main!S$1,값!$2:$2,0),0))</f>
        <v>-2.7300000000000001E-2</v>
      </c>
      <c r="T60" s="12">
        <f>IF(VLOOKUP($A60,값!$A:$W,MATCH(Main!T$1,값!$2:$2,0),0)="",NA(),VLOOKUP($A60,값!$A:$W,MATCH(Main!T$1,값!$2:$2,0),0))</f>
        <v>-2.7300000000000001E-2</v>
      </c>
      <c r="U60" s="12">
        <f>IF(VLOOKUP($A60,값!$A:$W,MATCH(Main!U$1,값!$2:$2,0),0)="",NA(),VLOOKUP($A60,값!$A:$W,MATCH(Main!U$1,값!$2:$2,0),0))</f>
        <v>-2.7300000000000001E-2</v>
      </c>
      <c r="V60" s="12">
        <f>IF(VLOOKUP($A60,값!$A:$W,MATCH(Main!V$1,값!$2:$2,0),0)="",NA(),VLOOKUP($A60,값!$A:$W,MATCH(Main!V$1,값!$2:$2,0),0))</f>
        <v>-8.4581073425227249E-4</v>
      </c>
    </row>
    <row r="61" spans="1:22" x14ac:dyDescent="0.2">
      <c r="A61" s="1">
        <v>42004</v>
      </c>
      <c r="B61" s="12">
        <f>IF(VLOOKUP($A61,값!$A:$W,MATCH(Main!B$1,값!$2:$2,0),0)="",NA(),VLOOKUP($A61,값!$A:$W,MATCH(Main!B$1,값!$2:$2,0),0))</f>
        <v>2.24E-2</v>
      </c>
      <c r="C61" s="12">
        <f>IF(VLOOKUP($A61,값!$A:$W,MATCH(Main!C$1,값!$2:$2,0),0)="",NA(),VLOOKUP($A61,값!$A:$W,MATCH(Main!C$1,값!$2:$2,0),0))</f>
        <v>7.8899999999999998E-2</v>
      </c>
      <c r="D61" s="12">
        <f>IF(VLOOKUP($A61,값!$A:$W,MATCH(Main!D$1,값!$2:$2,0),0)="",NA(),VLOOKUP($A61,값!$A:$W,MATCH(Main!D$1,값!$2:$2,0),0))</f>
        <v>7.8899999999999998E-2</v>
      </c>
      <c r="E61" s="12">
        <f>IF(VLOOKUP($A61,값!$A:$W,MATCH(Main!E$1,값!$2:$2,0),0)="",NA(),VLOOKUP($A61,값!$A:$W,MATCH(Main!E$1,값!$2:$2,0),0))</f>
        <v>2.5000000000000001E-2</v>
      </c>
      <c r="F61" s="12">
        <f>IF(VLOOKUP($A61,값!$A:$W,MATCH(Main!F$1,값!$2:$2,0),0)="",NA(),VLOOKUP($A61,값!$A:$W,MATCH(Main!F$1,값!$2:$2,0),0))</f>
        <v>4.2700000000000002E-2</v>
      </c>
      <c r="G61" s="12">
        <f>IF(VLOOKUP($A61,값!$A:$W,MATCH(Main!G$1,값!$2:$2,0),0)="",NA(),VLOOKUP($A61,값!$A:$W,MATCH(Main!G$1,값!$2:$2,0),0))</f>
        <v>2.5000000000000001E-2</v>
      </c>
      <c r="H61" s="12">
        <f>IF(VLOOKUP($A61,값!$A:$W,MATCH(Main!H$1,값!$2:$2,0),0)="",NA(),VLOOKUP($A61,값!$A:$W,MATCH(Main!H$1,값!$2:$2,0),0))</f>
        <v>4.4000000000000003E-3</v>
      </c>
      <c r="I61" s="12">
        <f>IF(VLOOKUP($A61,값!$A:$W,MATCH(Main!I$1,값!$2:$2,0),0)="",NA(),VLOOKUP($A61,값!$A:$W,MATCH(Main!I$1,값!$2:$2,0),0))</f>
        <v>-9.4000000000000004E-3</v>
      </c>
      <c r="J61" s="12">
        <f>IF(VLOOKUP($A61,값!$A:$W,MATCH(Main!J$1,값!$2:$2,0),0)="",NA(),VLOOKUP($A61,값!$A:$W,MATCH(Main!J$1,값!$2:$2,0),0))</f>
        <v>4.3799999999999999E-2</v>
      </c>
      <c r="K61" s="12">
        <f>IF(VLOOKUP($A61,값!$A:$W,MATCH(Main!K$1,값!$2:$2,0),0)="",NA(),VLOOKUP($A61,값!$A:$W,MATCH(Main!K$1,값!$2:$2,0),0))</f>
        <v>2.5414868507609434E-3</v>
      </c>
      <c r="L61" s="12">
        <f>IF(VLOOKUP($A61,값!$A:$W,MATCH(Main!L$1,값!$2:$2,0),0)="",NA(),VLOOKUP($A61,값!$A:$W,MATCH(Main!L$1,값!$2:$2,0),0))</f>
        <v>9.8650000000000005E-3</v>
      </c>
      <c r="M61" s="12">
        <f>IF(VLOOKUP($A61,값!$A:$W,MATCH(Main!M$1,값!$2:$2,0),0)="",NA(),VLOOKUP($A61,값!$A:$W,MATCH(Main!M$1,값!$2:$2,0),0))</f>
        <v>0.05</v>
      </c>
      <c r="N61" s="12">
        <f>IF(VLOOKUP($A61,값!$A:$W,MATCH(Main!N$1,값!$2:$2,0),0)="",NA(),VLOOKUP($A61,값!$A:$W,MATCH(Main!N$1,값!$2:$2,0),0))</f>
        <v>9.8650000000000005E-3</v>
      </c>
      <c r="O61" s="12">
        <f>IF(VLOOKUP($A61,값!$A:$W,MATCH(Main!O$1,값!$2:$2,0),0)="",NA(),VLOOKUP($A61,값!$A:$W,MATCH(Main!O$1,값!$2:$2,0),0))</f>
        <v>1.6397999999999999E-2</v>
      </c>
      <c r="P61" s="12">
        <f>IF(VLOOKUP($A61,값!$A:$W,MATCH(Main!P$1,값!$2:$2,0),0)="",NA(),VLOOKUP($A61,값!$A:$W,MATCH(Main!P$1,값!$2:$2,0),0))</f>
        <v>3.7349800000000002E-2</v>
      </c>
      <c r="Q61" s="12">
        <f>IF(VLOOKUP($A61,값!$A:$W,MATCH(Main!Q$1,값!$2:$2,0),0)="",NA(),VLOOKUP($A61,값!$A:$W,MATCH(Main!Q$1,값!$2:$2,0),0))</f>
        <v>8.0731576547510731E-2</v>
      </c>
      <c r="R61" s="12">
        <f>IF(VLOOKUP($A61,값!$A:$W,MATCH(Main!R$1,값!$2:$2,0),0)="",NA(),VLOOKUP($A61,값!$A:$W,MATCH(Main!R$1,값!$2:$2,0),0))</f>
        <v>-1.46E-2</v>
      </c>
      <c r="S61" s="12">
        <f>IF(VLOOKUP($A61,값!$A:$W,MATCH(Main!S$1,값!$2:$2,0),0)="",NA(),VLOOKUP($A61,값!$A:$W,MATCH(Main!S$1,값!$2:$2,0),0))</f>
        <v>-1.46E-2</v>
      </c>
      <c r="T61" s="12">
        <f>IF(VLOOKUP($A61,값!$A:$W,MATCH(Main!T$1,값!$2:$2,0),0)="",NA(),VLOOKUP($A61,값!$A:$W,MATCH(Main!T$1,값!$2:$2,0),0))</f>
        <v>-1.46E-2</v>
      </c>
      <c r="U61" s="12">
        <f>IF(VLOOKUP($A61,값!$A:$W,MATCH(Main!U$1,값!$2:$2,0),0)="",NA(),VLOOKUP($A61,값!$A:$W,MATCH(Main!U$1,값!$2:$2,0),0))</f>
        <v>-1.46E-2</v>
      </c>
      <c r="V61" s="12">
        <f>IF(VLOOKUP($A61,값!$A:$W,MATCH(Main!V$1,값!$2:$2,0),0)="",NA(),VLOOKUP($A61,값!$A:$W,MATCH(Main!V$1,값!$2:$2,0),0))</f>
        <v>1.5424065608000026E-2</v>
      </c>
    </row>
    <row r="62" spans="1:22" x14ac:dyDescent="0.2">
      <c r="A62" s="1">
        <v>42094</v>
      </c>
      <c r="B62" s="12">
        <f>IF(VLOOKUP($A62,값!$A:$W,MATCH(Main!B$1,값!$2:$2,0),0)="",NA(),VLOOKUP($A62,값!$A:$W,MATCH(Main!B$1,값!$2:$2,0),0))</f>
        <v>1.14E-2</v>
      </c>
      <c r="C62" s="12">
        <f>IF(VLOOKUP($A62,값!$A:$W,MATCH(Main!C$1,값!$2:$2,0),0)="",NA(),VLOOKUP($A62,값!$A:$W,MATCH(Main!C$1,값!$2:$2,0),0))</f>
        <v>3.3500000000000002E-2</v>
      </c>
      <c r="D62" s="12">
        <f>IF(VLOOKUP($A62,값!$A:$W,MATCH(Main!D$1,값!$2:$2,0),0)="",NA(),VLOOKUP($A62,값!$A:$W,MATCH(Main!D$1,값!$2:$2,0),0))</f>
        <v>3.3500000000000002E-2</v>
      </c>
      <c r="E62" s="12">
        <f>IF(VLOOKUP($A62,값!$A:$W,MATCH(Main!E$1,값!$2:$2,0),0)="",NA(),VLOOKUP($A62,값!$A:$W,MATCH(Main!E$1,값!$2:$2,0),0))</f>
        <v>8.6E-3</v>
      </c>
      <c r="F62" s="12">
        <f>IF(VLOOKUP($A62,값!$A:$W,MATCH(Main!F$1,값!$2:$2,0),0)="",NA(),VLOOKUP($A62,값!$A:$W,MATCH(Main!F$1,값!$2:$2,0),0))</f>
        <v>1.3899999999999999E-2</v>
      </c>
      <c r="G62" s="12">
        <f>IF(VLOOKUP($A62,값!$A:$W,MATCH(Main!G$1,값!$2:$2,0),0)="",NA(),VLOOKUP($A62,값!$A:$W,MATCH(Main!G$1,값!$2:$2,0),0))</f>
        <v>8.6E-3</v>
      </c>
      <c r="H62" s="12">
        <f>IF(VLOOKUP($A62,값!$A:$W,MATCH(Main!H$1,값!$2:$2,0),0)="",NA(),VLOOKUP($A62,값!$A:$W,MATCH(Main!H$1,값!$2:$2,0),0))</f>
        <v>-1.52E-2</v>
      </c>
      <c r="I62" s="12">
        <f>IF(VLOOKUP($A62,값!$A:$W,MATCH(Main!I$1,값!$2:$2,0),0)="",NA(),VLOOKUP($A62,값!$A:$W,MATCH(Main!I$1,값!$2:$2,0),0))</f>
        <v>-5.9999999999999995E-4</v>
      </c>
      <c r="J62" s="12">
        <f>IF(VLOOKUP($A62,값!$A:$W,MATCH(Main!J$1,값!$2:$2,0),0)="",NA(),VLOOKUP($A62,값!$A:$W,MATCH(Main!J$1,값!$2:$2,0),0))</f>
        <v>4.1700000000000001E-2</v>
      </c>
      <c r="K62" s="12">
        <f>IF(VLOOKUP($A62,값!$A:$W,MATCH(Main!K$1,값!$2:$2,0),0)="",NA(),VLOOKUP($A62,값!$A:$W,MATCH(Main!K$1,값!$2:$2,0),0))</f>
        <v>1.9163154498315071E-2</v>
      </c>
      <c r="L62" s="12">
        <f>IF(VLOOKUP($A62,값!$A:$W,MATCH(Main!L$1,값!$2:$2,0),0)="",NA(),VLOOKUP($A62,값!$A:$W,MATCH(Main!L$1,값!$2:$2,0),0))</f>
        <v>-1.2979999999999999E-3</v>
      </c>
      <c r="M62" s="12">
        <f>IF(VLOOKUP($A62,값!$A:$W,MATCH(Main!M$1,값!$2:$2,0),0)="",NA(),VLOOKUP($A62,값!$A:$W,MATCH(Main!M$1,값!$2:$2,0),0))</f>
        <v>2.2800000000000001E-2</v>
      </c>
      <c r="N62" s="12">
        <f>IF(VLOOKUP($A62,값!$A:$W,MATCH(Main!N$1,값!$2:$2,0),0)="",NA(),VLOOKUP($A62,값!$A:$W,MATCH(Main!N$1,값!$2:$2,0),0))</f>
        <v>-1.2979999999999999E-3</v>
      </c>
      <c r="O62" s="12">
        <f>IF(VLOOKUP($A62,값!$A:$W,MATCH(Main!O$1,값!$2:$2,0),0)="",NA(),VLOOKUP($A62,값!$A:$W,MATCH(Main!O$1,값!$2:$2,0),0))</f>
        <v>1.3117E-2</v>
      </c>
      <c r="P62" s="12">
        <f>IF(VLOOKUP($A62,값!$A:$W,MATCH(Main!P$1,값!$2:$2,0),0)="",NA(),VLOOKUP($A62,값!$A:$W,MATCH(Main!P$1,값!$2:$2,0),0))</f>
        <v>1.69166E-2</v>
      </c>
      <c r="Q62" s="12">
        <f>IF(VLOOKUP($A62,값!$A:$W,MATCH(Main!Q$1,값!$2:$2,0),0)="",NA(),VLOOKUP($A62,값!$A:$W,MATCH(Main!Q$1,값!$2:$2,0),0))</f>
        <v>4.1695741066137604E-2</v>
      </c>
      <c r="R62" s="12">
        <f>IF(VLOOKUP($A62,값!$A:$W,MATCH(Main!R$1,값!$2:$2,0),0)="",NA(),VLOOKUP($A62,값!$A:$W,MATCH(Main!R$1,값!$2:$2,0),0))</f>
        <v>-6.3399999999999998E-2</v>
      </c>
      <c r="S62" s="12">
        <f>IF(VLOOKUP($A62,값!$A:$W,MATCH(Main!S$1,값!$2:$2,0),0)="",NA(),VLOOKUP($A62,값!$A:$W,MATCH(Main!S$1,값!$2:$2,0),0))</f>
        <v>-6.3399999999999998E-2</v>
      </c>
      <c r="T62" s="12">
        <f>IF(VLOOKUP($A62,값!$A:$W,MATCH(Main!T$1,값!$2:$2,0),0)="",NA(),VLOOKUP($A62,값!$A:$W,MATCH(Main!T$1,값!$2:$2,0),0))</f>
        <v>-6.3399999999999998E-2</v>
      </c>
      <c r="U62" s="12">
        <f>IF(VLOOKUP($A62,값!$A:$W,MATCH(Main!U$1,값!$2:$2,0),0)="",NA(),VLOOKUP($A62,값!$A:$W,MATCH(Main!U$1,값!$2:$2,0),0))</f>
        <v>-6.3399999999999998E-2</v>
      </c>
      <c r="V62" s="12">
        <f>IF(VLOOKUP($A62,값!$A:$W,MATCH(Main!V$1,값!$2:$2,0),0)="",NA(),VLOOKUP($A62,값!$A:$W,MATCH(Main!V$1,값!$2:$2,0),0))</f>
        <v>3.2554528048001075E-2</v>
      </c>
    </row>
    <row r="63" spans="1:22" x14ac:dyDescent="0.2">
      <c r="A63" s="1">
        <v>42185</v>
      </c>
      <c r="B63" s="12">
        <f>IF(VLOOKUP($A63,값!$A:$W,MATCH(Main!B$1,값!$2:$2,0),0)="",NA(),VLOOKUP($A63,값!$A:$W,MATCH(Main!B$1,값!$2:$2,0),0))</f>
        <v>5.8799999999999998E-2</v>
      </c>
      <c r="C63" s="12">
        <f>IF(VLOOKUP($A63,값!$A:$W,MATCH(Main!C$1,값!$2:$2,0),0)="",NA(),VLOOKUP($A63,값!$A:$W,MATCH(Main!C$1,값!$2:$2,0),0))</f>
        <v>4.9099999999999998E-2</v>
      </c>
      <c r="D63" s="12">
        <f>IF(VLOOKUP($A63,값!$A:$W,MATCH(Main!D$1,값!$2:$2,0),0)="",NA(),VLOOKUP($A63,값!$A:$W,MATCH(Main!D$1,값!$2:$2,0),0))</f>
        <v>4.9099999999999998E-2</v>
      </c>
      <c r="E63" s="12">
        <f>IF(VLOOKUP($A63,값!$A:$W,MATCH(Main!E$1,값!$2:$2,0),0)="",NA(),VLOOKUP($A63,값!$A:$W,MATCH(Main!E$1,값!$2:$2,0),0))</f>
        <v>6.0400000000000002E-2</v>
      </c>
      <c r="F63" s="12">
        <f>IF(VLOOKUP($A63,값!$A:$W,MATCH(Main!F$1,값!$2:$2,0),0)="",NA(),VLOOKUP($A63,값!$A:$W,MATCH(Main!F$1,값!$2:$2,0),0))</f>
        <v>5.1900000000000002E-2</v>
      </c>
      <c r="G63" s="12">
        <f>IF(VLOOKUP($A63,값!$A:$W,MATCH(Main!G$1,값!$2:$2,0),0)="",NA(),VLOOKUP($A63,값!$A:$W,MATCH(Main!G$1,값!$2:$2,0),0))</f>
        <v>6.0400000000000002E-2</v>
      </c>
      <c r="H63" s="12">
        <f>IF(VLOOKUP($A63,값!$A:$W,MATCH(Main!H$1,값!$2:$2,0),0)="",NA(),VLOOKUP($A63,값!$A:$W,MATCH(Main!H$1,값!$2:$2,0),0))</f>
        <v>3.2300000000000002E-2</v>
      </c>
      <c r="I63" s="12">
        <f>IF(VLOOKUP($A63,값!$A:$W,MATCH(Main!I$1,값!$2:$2,0),0)="",NA(),VLOOKUP($A63,값!$A:$W,MATCH(Main!I$1,값!$2:$2,0),0))</f>
        <v>1.2999999999999999E-2</v>
      </c>
      <c r="J63" s="12">
        <f>IF(VLOOKUP($A63,값!$A:$W,MATCH(Main!J$1,값!$2:$2,0),0)="",NA(),VLOOKUP($A63,값!$A:$W,MATCH(Main!J$1,값!$2:$2,0),0))</f>
        <v>5.5599999999999997E-2</v>
      </c>
      <c r="K63" s="12">
        <f>IF(VLOOKUP($A63,값!$A:$W,MATCH(Main!K$1,값!$2:$2,0),0)="",NA(),VLOOKUP($A63,값!$A:$W,MATCH(Main!K$1,값!$2:$2,0),0))</f>
        <v>2.78519485836215E-3</v>
      </c>
      <c r="L63" s="12">
        <f>IF(VLOOKUP($A63,값!$A:$W,MATCH(Main!L$1,값!$2:$2,0),0)="",NA(),VLOOKUP($A63,값!$A:$W,MATCH(Main!L$1,값!$2:$2,0),0))</f>
        <v>4.6647000000000001E-2</v>
      </c>
      <c r="M63" s="12">
        <f>IF(VLOOKUP($A63,값!$A:$W,MATCH(Main!M$1,값!$2:$2,0),0)="",NA(),VLOOKUP($A63,값!$A:$W,MATCH(Main!M$1,값!$2:$2,0),0))</f>
        <v>3.7400000000000003E-2</v>
      </c>
      <c r="N63" s="12">
        <f>IF(VLOOKUP($A63,값!$A:$W,MATCH(Main!N$1,값!$2:$2,0),0)="",NA(),VLOOKUP($A63,값!$A:$W,MATCH(Main!N$1,값!$2:$2,0),0))</f>
        <v>4.6647000000000001E-2</v>
      </c>
      <c r="O63" s="12">
        <f>IF(VLOOKUP($A63,값!$A:$W,MATCH(Main!O$1,값!$2:$2,0),0)="",NA(),VLOOKUP($A63,값!$A:$W,MATCH(Main!O$1,값!$2:$2,0),0))</f>
        <v>-5.1529999999999996E-3</v>
      </c>
      <c r="P63" s="12">
        <f>IF(VLOOKUP($A63,값!$A:$W,MATCH(Main!P$1,값!$2:$2,0),0)="",NA(),VLOOKUP($A63,값!$A:$W,MATCH(Main!P$1,값!$2:$2,0),0))</f>
        <v>2.6811600000000001E-2</v>
      </c>
      <c r="Q63" s="12">
        <f>IF(VLOOKUP($A63,값!$A:$W,MATCH(Main!Q$1,값!$2:$2,0),0)="",NA(),VLOOKUP($A63,값!$A:$W,MATCH(Main!Q$1,값!$2:$2,0),0))</f>
        <v>-6.6715530955121172E-2</v>
      </c>
      <c r="R63" s="12">
        <f>IF(VLOOKUP($A63,값!$A:$W,MATCH(Main!R$1,값!$2:$2,0),0)="",NA(),VLOOKUP($A63,값!$A:$W,MATCH(Main!R$1,값!$2:$2,0),0))</f>
        <v>7.6899999999999996E-2</v>
      </c>
      <c r="S63" s="12">
        <f>IF(VLOOKUP($A63,값!$A:$W,MATCH(Main!S$1,값!$2:$2,0),0)="",NA(),VLOOKUP($A63,값!$A:$W,MATCH(Main!S$1,값!$2:$2,0),0))</f>
        <v>7.6899999999999996E-2</v>
      </c>
      <c r="T63" s="12">
        <f>IF(VLOOKUP($A63,값!$A:$W,MATCH(Main!T$1,값!$2:$2,0),0)="",NA(),VLOOKUP($A63,값!$A:$W,MATCH(Main!T$1,값!$2:$2,0),0))</f>
        <v>7.6899999999999996E-2</v>
      </c>
      <c r="U63" s="12">
        <f>IF(VLOOKUP($A63,값!$A:$W,MATCH(Main!U$1,값!$2:$2,0),0)="",NA(),VLOOKUP($A63,값!$A:$W,MATCH(Main!U$1,값!$2:$2,0),0))</f>
        <v>7.6899999999999996E-2</v>
      </c>
      <c r="V63" s="12">
        <f>IF(VLOOKUP($A63,값!$A:$W,MATCH(Main!V$1,값!$2:$2,0),0)="",NA(),VLOOKUP($A63,값!$A:$W,MATCH(Main!V$1,값!$2:$2,0),0))</f>
        <v>-4.0045839478731748E-2</v>
      </c>
    </row>
    <row r="64" spans="1:22" x14ac:dyDescent="0.2">
      <c r="A64" s="1">
        <v>42277</v>
      </c>
      <c r="B64" s="12">
        <f>IF(VLOOKUP($A64,값!$A:$W,MATCH(Main!B$1,값!$2:$2,0),0)="",NA(),VLOOKUP($A64,값!$A:$W,MATCH(Main!B$1,값!$2:$2,0),0))</f>
        <v>-5.0000000000000001E-4</v>
      </c>
      <c r="C64" s="12">
        <f>IF(VLOOKUP($A64,값!$A:$W,MATCH(Main!C$1,값!$2:$2,0),0)="",NA(),VLOOKUP($A64,값!$A:$W,MATCH(Main!C$1,값!$2:$2,0),0))</f>
        <v>-5.5999999999999999E-3</v>
      </c>
      <c r="D64" s="12">
        <f>IF(VLOOKUP($A64,값!$A:$W,MATCH(Main!D$1,값!$2:$2,0),0)="",NA(),VLOOKUP($A64,값!$A:$W,MATCH(Main!D$1,값!$2:$2,0),0))</f>
        <v>-5.5999999999999999E-3</v>
      </c>
      <c r="E64" s="12">
        <f>IF(VLOOKUP($A64,값!$A:$W,MATCH(Main!E$1,값!$2:$2,0),0)="",NA(),VLOOKUP($A64,값!$A:$W,MATCH(Main!E$1,값!$2:$2,0),0))</f>
        <v>1.01E-2</v>
      </c>
      <c r="F64" s="12">
        <f>IF(VLOOKUP($A64,값!$A:$W,MATCH(Main!F$1,값!$2:$2,0),0)="",NA(),VLOOKUP($A64,값!$A:$W,MATCH(Main!F$1,값!$2:$2,0),0))</f>
        <v>1.2999999999999999E-3</v>
      </c>
      <c r="G64" s="12">
        <f>IF(VLOOKUP($A64,값!$A:$W,MATCH(Main!G$1,값!$2:$2,0),0)="",NA(),VLOOKUP($A64,값!$A:$W,MATCH(Main!G$1,값!$2:$2,0),0))</f>
        <v>1.01E-2</v>
      </c>
      <c r="H64" s="12">
        <f>IF(VLOOKUP($A64,값!$A:$W,MATCH(Main!H$1,값!$2:$2,0),0)="",NA(),VLOOKUP($A64,값!$A:$W,MATCH(Main!H$1,값!$2:$2,0),0))</f>
        <v>2.5999999999999999E-3</v>
      </c>
      <c r="I64" s="12">
        <f>IF(VLOOKUP($A64,값!$A:$W,MATCH(Main!I$1,값!$2:$2,0),0)="",NA(),VLOOKUP($A64,값!$A:$W,MATCH(Main!I$1,값!$2:$2,0),0))</f>
        <v>-0.04</v>
      </c>
      <c r="J64" s="12">
        <f>IF(VLOOKUP($A64,값!$A:$W,MATCH(Main!J$1,값!$2:$2,0),0)="",NA(),VLOOKUP($A64,값!$A:$W,MATCH(Main!J$1,값!$2:$2,0),0))</f>
        <v>-5.1499999999999997E-2</v>
      </c>
      <c r="K64" s="12">
        <f>IF(VLOOKUP($A64,값!$A:$W,MATCH(Main!K$1,값!$2:$2,0),0)="",NA(),VLOOKUP($A64,값!$A:$W,MATCH(Main!K$1,값!$2:$2,0),0))</f>
        <v>-1.7960945431403252E-2</v>
      </c>
      <c r="L64" s="12">
        <f>IF(VLOOKUP($A64,값!$A:$W,MATCH(Main!L$1,값!$2:$2,0),0)="",NA(),VLOOKUP($A64,값!$A:$W,MATCH(Main!L$1,값!$2:$2,0),0))</f>
        <v>8.3009999999999994E-3</v>
      </c>
      <c r="M64" s="12">
        <f>IF(VLOOKUP($A64,값!$A:$W,MATCH(Main!M$1,값!$2:$2,0),0)="",NA(),VLOOKUP($A64,값!$A:$W,MATCH(Main!M$1,값!$2:$2,0),0))</f>
        <v>1.5599999999999999E-2</v>
      </c>
      <c r="N64" s="12">
        <f>IF(VLOOKUP($A64,값!$A:$W,MATCH(Main!N$1,값!$2:$2,0),0)="",NA(),VLOOKUP($A64,값!$A:$W,MATCH(Main!N$1,값!$2:$2,0),0))</f>
        <v>8.3009999999999994E-3</v>
      </c>
      <c r="O64" s="12">
        <f>IF(VLOOKUP($A64,값!$A:$W,MATCH(Main!O$1,값!$2:$2,0),0)="",NA(),VLOOKUP($A64,값!$A:$W,MATCH(Main!O$1,값!$2:$2,0),0))</f>
        <v>1.5671000000000001E-2</v>
      </c>
      <c r="P64" s="12">
        <f>IF(VLOOKUP($A64,값!$A:$W,MATCH(Main!P$1,값!$2:$2,0),0)="",NA(),VLOOKUP($A64,값!$A:$W,MATCH(Main!P$1,값!$2:$2,0),0))</f>
        <v>-3.0828500000000002E-2</v>
      </c>
      <c r="Q64" s="12">
        <f>IF(VLOOKUP($A64,값!$A:$W,MATCH(Main!Q$1,값!$2:$2,0),0)="",NA(),VLOOKUP($A64,값!$A:$W,MATCH(Main!Q$1,값!$2:$2,0),0))</f>
        <v>-1.4211587393280767E-2</v>
      </c>
      <c r="R64" s="12">
        <f>IF(VLOOKUP($A64,값!$A:$W,MATCH(Main!R$1,값!$2:$2,0),0)="",NA(),VLOOKUP($A64,값!$A:$W,MATCH(Main!R$1,값!$2:$2,0),0))</f>
        <v>5.5999999999999999E-3</v>
      </c>
      <c r="S64" s="12">
        <f>IF(VLOOKUP($A64,값!$A:$W,MATCH(Main!S$1,값!$2:$2,0),0)="",NA(),VLOOKUP($A64,값!$A:$W,MATCH(Main!S$1,값!$2:$2,0),0))</f>
        <v>5.5999999999999999E-3</v>
      </c>
      <c r="T64" s="12">
        <f>IF(VLOOKUP($A64,값!$A:$W,MATCH(Main!T$1,값!$2:$2,0),0)="",NA(),VLOOKUP($A64,값!$A:$W,MATCH(Main!T$1,값!$2:$2,0),0))</f>
        <v>5.5999999999999999E-3</v>
      </c>
      <c r="U64" s="12">
        <f>IF(VLOOKUP($A64,값!$A:$W,MATCH(Main!U$1,값!$2:$2,0),0)="",NA(),VLOOKUP($A64,값!$A:$W,MATCH(Main!U$1,값!$2:$2,0),0))</f>
        <v>5.5999999999999999E-3</v>
      </c>
      <c r="V64" s="12">
        <f>IF(VLOOKUP($A64,값!$A:$W,MATCH(Main!V$1,값!$2:$2,0),0)="",NA(),VLOOKUP($A64,값!$A:$W,MATCH(Main!V$1,값!$2:$2,0),0))</f>
        <v>-9.7328427359293368E-3</v>
      </c>
    </row>
    <row r="65" spans="1:22" x14ac:dyDescent="0.2">
      <c r="A65" s="1">
        <v>42369</v>
      </c>
      <c r="B65" s="12">
        <f>IF(VLOOKUP($A65,값!$A:$W,MATCH(Main!B$1,값!$2:$2,0),0)="",NA(),VLOOKUP($A65,값!$A:$W,MATCH(Main!B$1,값!$2:$2,0),0))</f>
        <v>2.3300000000000001E-2</v>
      </c>
      <c r="C65" s="12">
        <f>IF(VLOOKUP($A65,값!$A:$W,MATCH(Main!C$1,값!$2:$2,0),0)="",NA(),VLOOKUP($A65,값!$A:$W,MATCH(Main!C$1,값!$2:$2,0),0))</f>
        <v>2.4199999999999999E-2</v>
      </c>
      <c r="D65" s="12">
        <f>IF(VLOOKUP($A65,값!$A:$W,MATCH(Main!D$1,값!$2:$2,0),0)="",NA(),VLOOKUP($A65,값!$A:$W,MATCH(Main!D$1,값!$2:$2,0),0))</f>
        <v>2.4199999999999999E-2</v>
      </c>
      <c r="E65" s="12">
        <f>IF(VLOOKUP($A65,값!$A:$W,MATCH(Main!E$1,값!$2:$2,0),0)="",NA(),VLOOKUP($A65,값!$A:$W,MATCH(Main!E$1,값!$2:$2,0),0))</f>
        <v>2.9999999999999997E-4</v>
      </c>
      <c r="F65" s="12">
        <f>IF(VLOOKUP($A65,값!$A:$W,MATCH(Main!F$1,값!$2:$2,0),0)="",NA(),VLOOKUP($A65,값!$A:$W,MATCH(Main!F$1,값!$2:$2,0),0))</f>
        <v>2.4400000000000002E-2</v>
      </c>
      <c r="G65" s="12">
        <f>IF(VLOOKUP($A65,값!$A:$W,MATCH(Main!G$1,값!$2:$2,0),0)="",NA(),VLOOKUP($A65,값!$A:$W,MATCH(Main!G$1,값!$2:$2,0),0))</f>
        <v>2.9999999999999997E-4</v>
      </c>
      <c r="H65" s="12">
        <f>IF(VLOOKUP($A65,값!$A:$W,MATCH(Main!H$1,값!$2:$2,0),0)="",NA(),VLOOKUP($A65,값!$A:$W,MATCH(Main!H$1,값!$2:$2,0),0))</f>
        <v>0</v>
      </c>
      <c r="I65" s="12">
        <f>IF(VLOOKUP($A65,값!$A:$W,MATCH(Main!I$1,값!$2:$2,0),0)="",NA(),VLOOKUP($A65,값!$A:$W,MATCH(Main!I$1,값!$2:$2,0),0))</f>
        <v>-2.4199999999999999E-2</v>
      </c>
      <c r="J65" s="12">
        <f>IF(VLOOKUP($A65,값!$A:$W,MATCH(Main!J$1,값!$2:$2,0),0)="",NA(),VLOOKUP($A65,값!$A:$W,MATCH(Main!J$1,값!$2:$2,0),0))</f>
        <v>7.46E-2</v>
      </c>
      <c r="K65" s="12">
        <f>IF(VLOOKUP($A65,값!$A:$W,MATCH(Main!K$1,값!$2:$2,0),0)="",NA(),VLOOKUP($A65,값!$A:$W,MATCH(Main!K$1,값!$2:$2,0),0))</f>
        <v>1.653178202021266E-5</v>
      </c>
      <c r="L65" s="12">
        <f>IF(VLOOKUP($A65,값!$A:$W,MATCH(Main!L$1,값!$2:$2,0),0)="",NA(),VLOOKUP($A65,값!$A:$W,MATCH(Main!L$1,값!$2:$2,0),0))</f>
        <v>2.9536E-2</v>
      </c>
      <c r="M65" s="12">
        <f>IF(VLOOKUP($A65,값!$A:$W,MATCH(Main!M$1,값!$2:$2,0),0)="",NA(),VLOOKUP($A65,값!$A:$W,MATCH(Main!M$1,값!$2:$2,0),0))</f>
        <v>2.9399999999999999E-2</v>
      </c>
      <c r="N65" s="12">
        <f>IF(VLOOKUP($A65,값!$A:$W,MATCH(Main!N$1,값!$2:$2,0),0)="",NA(),VLOOKUP($A65,값!$A:$W,MATCH(Main!N$1,값!$2:$2,0),0))</f>
        <v>2.9536E-2</v>
      </c>
      <c r="O65" s="12">
        <f>IF(VLOOKUP($A65,값!$A:$W,MATCH(Main!O$1,값!$2:$2,0),0)="",NA(),VLOOKUP($A65,값!$A:$W,MATCH(Main!O$1,값!$2:$2,0),0))</f>
        <v>3.2139999999999998E-3</v>
      </c>
      <c r="P65" s="12">
        <f>IF(VLOOKUP($A65,값!$A:$W,MATCH(Main!P$1,값!$2:$2,0),0)="",NA(),VLOOKUP($A65,값!$A:$W,MATCH(Main!P$1,값!$2:$2,0),0))</f>
        <v>4.8336400000000002E-2</v>
      </c>
      <c r="Q65" s="12">
        <f>IF(VLOOKUP($A65,값!$A:$W,MATCH(Main!Q$1,값!$2:$2,0),0)="",NA(),VLOOKUP($A65,값!$A:$W,MATCH(Main!Q$1,값!$2:$2,0),0))</f>
        <v>4.3995620697959037E-2</v>
      </c>
      <c r="R65" s="12">
        <f>IF(VLOOKUP($A65,값!$A:$W,MATCH(Main!R$1,값!$2:$2,0),0)="",NA(),VLOOKUP($A65,값!$A:$W,MATCH(Main!R$1,값!$2:$2,0),0))</f>
        <v>-5.8999999999999999E-3</v>
      </c>
      <c r="S65" s="12">
        <f>IF(VLOOKUP($A65,값!$A:$W,MATCH(Main!S$1,값!$2:$2,0),0)="",NA(),VLOOKUP($A65,값!$A:$W,MATCH(Main!S$1,값!$2:$2,0),0))</f>
        <v>-5.8999999999999999E-3</v>
      </c>
      <c r="T65" s="12">
        <f>IF(VLOOKUP($A65,값!$A:$W,MATCH(Main!T$1,값!$2:$2,0),0)="",NA(),VLOOKUP($A65,값!$A:$W,MATCH(Main!T$1,값!$2:$2,0),0))</f>
        <v>-5.8999999999999999E-3</v>
      </c>
      <c r="U65" s="12">
        <f>IF(VLOOKUP($A65,값!$A:$W,MATCH(Main!U$1,값!$2:$2,0),0)="",NA(),VLOOKUP($A65,값!$A:$W,MATCH(Main!U$1,값!$2:$2,0),0))</f>
        <v>-5.8999999999999999E-3</v>
      </c>
      <c r="V65" s="12">
        <f>IF(VLOOKUP($A65,값!$A:$W,MATCH(Main!V$1,값!$2:$2,0),0)="",NA(),VLOOKUP($A65,값!$A:$W,MATCH(Main!V$1,값!$2:$2,0),0))</f>
        <v>-2.9762303655768707E-2</v>
      </c>
    </row>
    <row r="66" spans="1:22" x14ac:dyDescent="0.2">
      <c r="A66" s="1">
        <v>42460</v>
      </c>
      <c r="B66" s="12">
        <f>IF(VLOOKUP($A66,값!$A:$W,MATCH(Main!B$1,값!$2:$2,0),0)="",NA(),VLOOKUP($A66,값!$A:$W,MATCH(Main!B$1,값!$2:$2,0),0))</f>
        <v>2.29E-2</v>
      </c>
      <c r="C66" s="12">
        <f>IF(VLOOKUP($A66,값!$A:$W,MATCH(Main!C$1,값!$2:$2,0),0)="",NA(),VLOOKUP($A66,값!$A:$W,MATCH(Main!C$1,값!$2:$2,0),0))</f>
        <v>-2.63E-2</v>
      </c>
      <c r="D66" s="12">
        <f>IF(VLOOKUP($A66,값!$A:$W,MATCH(Main!D$1,값!$2:$2,0),0)="",NA(),VLOOKUP($A66,값!$A:$W,MATCH(Main!D$1,값!$2:$2,0),0))</f>
        <v>-2.63E-2</v>
      </c>
      <c r="E66" s="12">
        <f>IF(VLOOKUP($A66,값!$A:$W,MATCH(Main!E$1,값!$2:$2,0),0)="",NA(),VLOOKUP($A66,값!$A:$W,MATCH(Main!E$1,값!$2:$2,0),0))</f>
        <v>3.3E-3</v>
      </c>
      <c r="F66" s="12">
        <f>IF(VLOOKUP($A66,값!$A:$W,MATCH(Main!F$1,값!$2:$2,0),0)="",NA(),VLOOKUP($A66,값!$A:$W,MATCH(Main!F$1,값!$2:$2,0),0))</f>
        <v>4.1999999999999997E-3</v>
      </c>
      <c r="G66" s="12">
        <f>IF(VLOOKUP($A66,값!$A:$W,MATCH(Main!G$1,값!$2:$2,0),0)="",NA(),VLOOKUP($A66,값!$A:$W,MATCH(Main!G$1,값!$2:$2,0),0))</f>
        <v>3.3E-3</v>
      </c>
      <c r="H66" s="12">
        <f>IF(VLOOKUP($A66,값!$A:$W,MATCH(Main!H$1,값!$2:$2,0),0)="",NA(),VLOOKUP($A66,값!$A:$W,MATCH(Main!H$1,값!$2:$2,0),0))</f>
        <v>2.8799999999999999E-2</v>
      </c>
      <c r="I66" s="12">
        <f>IF(VLOOKUP($A66,값!$A:$W,MATCH(Main!I$1,값!$2:$2,0),0)="",NA(),VLOOKUP($A66,값!$A:$W,MATCH(Main!I$1,값!$2:$2,0),0))</f>
        <v>8.6999999999999994E-3</v>
      </c>
      <c r="J66" s="12">
        <f>IF(VLOOKUP($A66,값!$A:$W,MATCH(Main!J$1,값!$2:$2,0),0)="",NA(),VLOOKUP($A66,값!$A:$W,MATCH(Main!J$1,값!$2:$2,0),0))</f>
        <v>-7.1999999999999998E-3</v>
      </c>
      <c r="K66" s="12">
        <f>IF(VLOOKUP($A66,값!$A:$W,MATCH(Main!K$1,값!$2:$2,0),0)="",NA(),VLOOKUP($A66,값!$A:$W,MATCH(Main!K$1,값!$2:$2,0),0))</f>
        <v>-2.0787380331163563E-2</v>
      </c>
      <c r="L66" s="12">
        <f>IF(VLOOKUP($A66,값!$A:$W,MATCH(Main!L$1,값!$2:$2,0),0)="",NA(),VLOOKUP($A66,값!$A:$W,MATCH(Main!L$1,값!$2:$2,0),0))</f>
        <v>2.8974E-2</v>
      </c>
      <c r="M66" s="12">
        <f>IF(VLOOKUP($A66,값!$A:$W,MATCH(Main!M$1,값!$2:$2,0),0)="",NA(),VLOOKUP($A66,값!$A:$W,MATCH(Main!M$1,값!$2:$2,0),0))</f>
        <v>1.9699999999999999E-2</v>
      </c>
      <c r="N66" s="12">
        <f>IF(VLOOKUP($A66,값!$A:$W,MATCH(Main!N$1,값!$2:$2,0),0)="",NA(),VLOOKUP($A66,값!$A:$W,MATCH(Main!N$1,값!$2:$2,0),0))</f>
        <v>2.8974E-2</v>
      </c>
      <c r="O66" s="12">
        <f>IF(VLOOKUP($A66,값!$A:$W,MATCH(Main!O$1,값!$2:$2,0),0)="",NA(),VLOOKUP($A66,값!$A:$W,MATCH(Main!O$1,값!$2:$2,0),0))</f>
        <v>3.2030000000000003E-2</v>
      </c>
      <c r="P66" s="12">
        <f>IF(VLOOKUP($A66,값!$A:$W,MATCH(Main!P$1,값!$2:$2,0),0)="",NA(),VLOOKUP($A66,값!$A:$W,MATCH(Main!P$1,값!$2:$2,0),0))</f>
        <v>4.5785399999999997E-2</v>
      </c>
      <c r="Q66" s="12">
        <f>IF(VLOOKUP($A66,값!$A:$W,MATCH(Main!Q$1,값!$2:$2,0),0)="",NA(),VLOOKUP($A66,값!$A:$W,MATCH(Main!Q$1,값!$2:$2,0),0))</f>
        <v>5.4326441576190376E-2</v>
      </c>
      <c r="R66" s="12">
        <f>IF(VLOOKUP($A66,값!$A:$W,MATCH(Main!R$1,값!$2:$2,0),0)="",NA(),VLOOKUP($A66,값!$A:$W,MATCH(Main!R$1,값!$2:$2,0),0))</f>
        <v>3.5099999999999999E-2</v>
      </c>
      <c r="S66" s="12">
        <f>IF(VLOOKUP($A66,값!$A:$W,MATCH(Main!S$1,값!$2:$2,0),0)="",NA(),VLOOKUP($A66,값!$A:$W,MATCH(Main!S$1,값!$2:$2,0),0))</f>
        <v>3.5099999999999999E-2</v>
      </c>
      <c r="T66" s="12">
        <f>IF(VLOOKUP($A66,값!$A:$W,MATCH(Main!T$1,값!$2:$2,0),0)="",NA(),VLOOKUP($A66,값!$A:$W,MATCH(Main!T$1,값!$2:$2,0),0))</f>
        <v>3.5099999999999999E-2</v>
      </c>
      <c r="U66" s="12">
        <f>IF(VLOOKUP($A66,값!$A:$W,MATCH(Main!U$1,값!$2:$2,0),0)="",NA(),VLOOKUP($A66,값!$A:$W,MATCH(Main!U$1,값!$2:$2,0),0))</f>
        <v>3.5099999999999999E-2</v>
      </c>
      <c r="V66" s="12">
        <f>IF(VLOOKUP($A66,값!$A:$W,MATCH(Main!V$1,값!$2:$2,0),0)="",NA(),VLOOKUP($A66,값!$A:$W,MATCH(Main!V$1,값!$2:$2,0),0))</f>
        <v>6.0427106911864703E-2</v>
      </c>
    </row>
    <row r="67" spans="1:22" x14ac:dyDescent="0.2">
      <c r="A67" s="1">
        <v>42551</v>
      </c>
      <c r="B67" s="12">
        <f>IF(VLOOKUP($A67,값!$A:$W,MATCH(Main!B$1,값!$2:$2,0),0)="",NA(),VLOOKUP($A67,값!$A:$W,MATCH(Main!B$1,값!$2:$2,0),0))</f>
        <v>2.7E-2</v>
      </c>
      <c r="C67" s="12">
        <f>IF(VLOOKUP($A67,값!$A:$W,MATCH(Main!C$1,값!$2:$2,0),0)="",NA(),VLOOKUP($A67,값!$A:$W,MATCH(Main!C$1,값!$2:$2,0),0))</f>
        <v>3.2000000000000002E-3</v>
      </c>
      <c r="D67" s="12">
        <f>IF(VLOOKUP($A67,값!$A:$W,MATCH(Main!D$1,값!$2:$2,0),0)="",NA(),VLOOKUP($A67,값!$A:$W,MATCH(Main!D$1,값!$2:$2,0),0))</f>
        <v>3.2000000000000002E-3</v>
      </c>
      <c r="E67" s="12">
        <f>IF(VLOOKUP($A67,값!$A:$W,MATCH(Main!E$1,값!$2:$2,0),0)="",NA(),VLOOKUP($A67,값!$A:$W,MATCH(Main!E$1,값!$2:$2,0),0))</f>
        <v>-8.0000000000000004E-4</v>
      </c>
      <c r="F67" s="12">
        <f>IF(VLOOKUP($A67,값!$A:$W,MATCH(Main!F$1,값!$2:$2,0),0)="",NA(),VLOOKUP($A67,값!$A:$W,MATCH(Main!F$1,값!$2:$2,0),0))</f>
        <v>8.9999999999999993E-3</v>
      </c>
      <c r="G67" s="12">
        <f>IF(VLOOKUP($A67,값!$A:$W,MATCH(Main!G$1,값!$2:$2,0),0)="",NA(),VLOOKUP($A67,값!$A:$W,MATCH(Main!G$1,값!$2:$2,0),0))</f>
        <v>-8.0000000000000004E-4</v>
      </c>
      <c r="H67" s="12">
        <f>IF(VLOOKUP($A67,값!$A:$W,MATCH(Main!H$1,값!$2:$2,0),0)="",NA(),VLOOKUP($A67,값!$A:$W,MATCH(Main!H$1,값!$2:$2,0),0))</f>
        <v>1.3599999999999999E-2</v>
      </c>
      <c r="I67" s="12">
        <f>IF(VLOOKUP($A67,값!$A:$W,MATCH(Main!I$1,값!$2:$2,0),0)="",NA(),VLOOKUP($A67,값!$A:$W,MATCH(Main!I$1,값!$2:$2,0),0))</f>
        <v>1.72E-2</v>
      </c>
      <c r="J67" s="12">
        <f>IF(VLOOKUP($A67,값!$A:$W,MATCH(Main!J$1,값!$2:$2,0),0)="",NA(),VLOOKUP($A67,값!$A:$W,MATCH(Main!J$1,값!$2:$2,0),0))</f>
        <v>1.6199999999999999E-2</v>
      </c>
      <c r="K67" s="12">
        <f>IF(VLOOKUP($A67,값!$A:$W,MATCH(Main!K$1,값!$2:$2,0),0)="",NA(),VLOOKUP($A67,값!$A:$W,MATCH(Main!K$1,값!$2:$2,0),0))</f>
        <v>5.2443644691493319E-3</v>
      </c>
      <c r="L67" s="12">
        <f>IF(VLOOKUP($A67,값!$A:$W,MATCH(Main!L$1,값!$2:$2,0),0)="",NA(),VLOOKUP($A67,값!$A:$W,MATCH(Main!L$1,값!$2:$2,0),0))</f>
        <v>6.11E-4</v>
      </c>
      <c r="M67" s="12">
        <f>IF(VLOOKUP($A67,값!$A:$W,MATCH(Main!M$1,값!$2:$2,0),0)="",NA(),VLOOKUP($A67,값!$A:$W,MATCH(Main!M$1,값!$2:$2,0),0))</f>
        <v>1.0200000000000001E-2</v>
      </c>
      <c r="N67" s="12">
        <f>IF(VLOOKUP($A67,값!$A:$W,MATCH(Main!N$1,값!$2:$2,0),0)="",NA(),VLOOKUP($A67,값!$A:$W,MATCH(Main!N$1,값!$2:$2,0),0))</f>
        <v>6.11E-4</v>
      </c>
      <c r="O67" s="12">
        <f>IF(VLOOKUP($A67,값!$A:$W,MATCH(Main!O$1,값!$2:$2,0),0)="",NA(),VLOOKUP($A67,값!$A:$W,MATCH(Main!O$1,값!$2:$2,0),0))</f>
        <v>2.1784000000000001E-2</v>
      </c>
      <c r="P67" s="12">
        <f>IF(VLOOKUP($A67,값!$A:$W,MATCH(Main!P$1,값!$2:$2,0),0)="",NA(),VLOOKUP($A67,값!$A:$W,MATCH(Main!P$1,값!$2:$2,0),0))</f>
        <v>2.44307E-2</v>
      </c>
      <c r="Q67" s="12">
        <f>IF(VLOOKUP($A67,값!$A:$W,MATCH(Main!Q$1,값!$2:$2,0),0)="",NA(),VLOOKUP($A67,값!$A:$W,MATCH(Main!Q$1,값!$2:$2,0),0))</f>
        <v>3.7438218181987892E-2</v>
      </c>
      <c r="R67" s="12">
        <f>IF(VLOOKUP($A67,값!$A:$W,MATCH(Main!R$1,값!$2:$2,0),0)="",NA(),VLOOKUP($A67,값!$A:$W,MATCH(Main!R$1,값!$2:$2,0),0))</f>
        <v>5.7000000000000002E-3</v>
      </c>
      <c r="S67" s="12">
        <f>IF(VLOOKUP($A67,값!$A:$W,MATCH(Main!S$1,값!$2:$2,0),0)="",NA(),VLOOKUP($A67,값!$A:$W,MATCH(Main!S$1,값!$2:$2,0),0))</f>
        <v>5.7000000000000002E-3</v>
      </c>
      <c r="T67" s="12">
        <f>IF(VLOOKUP($A67,값!$A:$W,MATCH(Main!T$1,값!$2:$2,0),0)="",NA(),VLOOKUP($A67,값!$A:$W,MATCH(Main!T$1,값!$2:$2,0),0))</f>
        <v>5.7000000000000002E-3</v>
      </c>
      <c r="U67" s="12">
        <f>IF(VLOOKUP($A67,값!$A:$W,MATCH(Main!U$1,값!$2:$2,0),0)="",NA(),VLOOKUP($A67,값!$A:$W,MATCH(Main!U$1,값!$2:$2,0),0))</f>
        <v>5.7000000000000002E-3</v>
      </c>
      <c r="V67" s="12">
        <f>IF(VLOOKUP($A67,값!$A:$W,MATCH(Main!V$1,값!$2:$2,0),0)="",NA(),VLOOKUP($A67,값!$A:$W,MATCH(Main!V$1,값!$2:$2,0),0))</f>
        <v>6.8106788589941125E-2</v>
      </c>
    </row>
    <row r="68" spans="1:22" x14ac:dyDescent="0.2">
      <c r="A68" s="1">
        <v>42643</v>
      </c>
      <c r="B68" s="12">
        <f>IF(VLOOKUP($A68,값!$A:$W,MATCH(Main!B$1,값!$2:$2,0),0)="",NA(),VLOOKUP($A68,값!$A:$W,MATCH(Main!B$1,값!$2:$2,0),0))</f>
        <v>4.5100000000000001E-2</v>
      </c>
      <c r="C68" s="12">
        <f>IF(VLOOKUP($A68,값!$A:$W,MATCH(Main!C$1,값!$2:$2,0),0)="",NA(),VLOOKUP($A68,값!$A:$W,MATCH(Main!C$1,값!$2:$2,0),0))</f>
        <v>2.92E-2</v>
      </c>
      <c r="D68" s="12">
        <f>IF(VLOOKUP($A68,값!$A:$W,MATCH(Main!D$1,값!$2:$2,0),0)="",NA(),VLOOKUP($A68,값!$A:$W,MATCH(Main!D$1,값!$2:$2,0),0))</f>
        <v>2.92E-2</v>
      </c>
      <c r="E68" s="12">
        <f>IF(VLOOKUP($A68,값!$A:$W,MATCH(Main!E$1,값!$2:$2,0),0)="",NA(),VLOOKUP($A68,값!$A:$W,MATCH(Main!E$1,값!$2:$2,0),0))</f>
        <v>1.9599999999999999E-2</v>
      </c>
      <c r="F68" s="12">
        <f>IF(VLOOKUP($A68,값!$A:$W,MATCH(Main!F$1,값!$2:$2,0),0)="",NA(),VLOOKUP($A68,값!$A:$W,MATCH(Main!F$1,값!$2:$2,0),0))</f>
        <v>2.8299999999999999E-2</v>
      </c>
      <c r="G68" s="12">
        <f>IF(VLOOKUP($A68,값!$A:$W,MATCH(Main!G$1,값!$2:$2,0),0)="",NA(),VLOOKUP($A68,값!$A:$W,MATCH(Main!G$1,값!$2:$2,0),0))</f>
        <v>1.9599999999999999E-2</v>
      </c>
      <c r="H68" s="12">
        <f>IF(VLOOKUP($A68,값!$A:$W,MATCH(Main!H$1,값!$2:$2,0),0)="",NA(),VLOOKUP($A68,값!$A:$W,MATCH(Main!H$1,값!$2:$2,0),0))</f>
        <v>2.92E-2</v>
      </c>
      <c r="I68" s="12">
        <f>IF(VLOOKUP($A68,값!$A:$W,MATCH(Main!I$1,값!$2:$2,0),0)="",NA(),VLOOKUP($A68,값!$A:$W,MATCH(Main!I$1,값!$2:$2,0),0))</f>
        <v>3.6600000000000001E-2</v>
      </c>
      <c r="J68" s="12">
        <f>IF(VLOOKUP($A68,값!$A:$W,MATCH(Main!J$1,값!$2:$2,0),0)="",NA(),VLOOKUP($A68,값!$A:$W,MATCH(Main!J$1,값!$2:$2,0),0))</f>
        <v>3.39E-2</v>
      </c>
      <c r="K68" s="12">
        <f>IF(VLOOKUP($A68,값!$A:$W,MATCH(Main!K$1,값!$2:$2,0),0)="",NA(),VLOOKUP($A68,값!$A:$W,MATCH(Main!K$1,값!$2:$2,0),0))</f>
        <v>1.8407530508101511E-2</v>
      </c>
      <c r="L68" s="12">
        <f>IF(VLOOKUP($A68,값!$A:$W,MATCH(Main!L$1,값!$2:$2,0),0)="",NA(),VLOOKUP($A68,값!$A:$W,MATCH(Main!L$1,값!$2:$2,0),0))</f>
        <v>1.6867E-2</v>
      </c>
      <c r="M68" s="12">
        <f>IF(VLOOKUP($A68,값!$A:$W,MATCH(Main!M$1,값!$2:$2,0),0)="",NA(),VLOOKUP($A68,값!$A:$W,MATCH(Main!M$1,값!$2:$2,0),0))</f>
        <v>2.1899999999999999E-2</v>
      </c>
      <c r="N68" s="12">
        <f>IF(VLOOKUP($A68,값!$A:$W,MATCH(Main!N$1,값!$2:$2,0),0)="",NA(),VLOOKUP($A68,값!$A:$W,MATCH(Main!N$1,값!$2:$2,0),0))</f>
        <v>1.6867E-2</v>
      </c>
      <c r="O68" s="12">
        <f>IF(VLOOKUP($A68,값!$A:$W,MATCH(Main!O$1,값!$2:$2,0),0)="",NA(),VLOOKUP($A68,값!$A:$W,MATCH(Main!O$1,값!$2:$2,0),0))</f>
        <v>4.9799999999999996E-4</v>
      </c>
      <c r="P68" s="12">
        <f>IF(VLOOKUP($A68,값!$A:$W,MATCH(Main!P$1,값!$2:$2,0),0)="",NA(),VLOOKUP($A68,값!$A:$W,MATCH(Main!P$1,값!$2:$2,0),0))</f>
        <v>2.4001399999999999E-2</v>
      </c>
      <c r="Q68" s="12">
        <f>IF(VLOOKUP($A68,값!$A:$W,MATCH(Main!Q$1,값!$2:$2,0),0)="",NA(),VLOOKUP($A68,값!$A:$W,MATCH(Main!Q$1,값!$2:$2,0),0))</f>
        <v>1.4556427045164133E-2</v>
      </c>
      <c r="R68" s="12">
        <f>IF(VLOOKUP($A68,값!$A:$W,MATCH(Main!R$1,값!$2:$2,0),0)="",NA(),VLOOKUP($A68,값!$A:$W,MATCH(Main!R$1,값!$2:$2,0),0))</f>
        <v>1.41E-2</v>
      </c>
      <c r="S68" s="12">
        <f>IF(VLOOKUP($A68,값!$A:$W,MATCH(Main!S$1,값!$2:$2,0),0)="",NA(),VLOOKUP($A68,값!$A:$W,MATCH(Main!S$1,값!$2:$2,0),0))</f>
        <v>1.41E-2</v>
      </c>
      <c r="T68" s="12">
        <f>IF(VLOOKUP($A68,값!$A:$W,MATCH(Main!T$1,값!$2:$2,0),0)="",NA(),VLOOKUP($A68,값!$A:$W,MATCH(Main!T$1,값!$2:$2,0),0))</f>
        <v>1.41E-2</v>
      </c>
      <c r="U68" s="12">
        <f>IF(VLOOKUP($A68,값!$A:$W,MATCH(Main!U$1,값!$2:$2,0),0)="",NA(),VLOOKUP($A68,값!$A:$W,MATCH(Main!U$1,값!$2:$2,0),0))</f>
        <v>1.41E-2</v>
      </c>
      <c r="V68" s="12">
        <f>IF(VLOOKUP($A68,값!$A:$W,MATCH(Main!V$1,값!$2:$2,0),0)="",NA(),VLOOKUP($A68,값!$A:$W,MATCH(Main!V$1,값!$2:$2,0),0))</f>
        <v>2.3277425444364175E-2</v>
      </c>
    </row>
    <row r="69" spans="1:22" x14ac:dyDescent="0.2">
      <c r="A69" s="1">
        <v>42735</v>
      </c>
      <c r="B69" s="12">
        <f>IF(VLOOKUP($A69,값!$A:$W,MATCH(Main!B$1,값!$2:$2,0),0)="",NA(),VLOOKUP($A69,값!$A:$W,MATCH(Main!B$1,값!$2:$2,0),0))</f>
        <v>3.0499999999999999E-2</v>
      </c>
      <c r="C69" s="12">
        <f>IF(VLOOKUP($A69,값!$A:$W,MATCH(Main!C$1,값!$2:$2,0),0)="",NA(),VLOOKUP($A69,값!$A:$W,MATCH(Main!C$1,값!$2:$2,0),0))</f>
        <v>6.3E-3</v>
      </c>
      <c r="D69" s="12">
        <f>IF(VLOOKUP($A69,값!$A:$W,MATCH(Main!D$1,값!$2:$2,0),0)="",NA(),VLOOKUP($A69,값!$A:$W,MATCH(Main!D$1,값!$2:$2,0),0))</f>
        <v>6.3E-3</v>
      </c>
      <c r="E69" s="12">
        <f>IF(VLOOKUP($A69,값!$A:$W,MATCH(Main!E$1,값!$2:$2,0),0)="",NA(),VLOOKUP($A69,값!$A:$W,MATCH(Main!E$1,값!$2:$2,0),0))</f>
        <v>3.2099999999999997E-2</v>
      </c>
      <c r="F69" s="12">
        <f>IF(VLOOKUP($A69,값!$A:$W,MATCH(Main!F$1,값!$2:$2,0),0)="",NA(),VLOOKUP($A69,값!$A:$W,MATCH(Main!F$1,값!$2:$2,0),0))</f>
        <v>2.46E-2</v>
      </c>
      <c r="G69" s="12">
        <f>IF(VLOOKUP($A69,값!$A:$W,MATCH(Main!G$1,값!$2:$2,0),0)="",NA(),VLOOKUP($A69,값!$A:$W,MATCH(Main!G$1,값!$2:$2,0),0))</f>
        <v>3.2099999999999997E-2</v>
      </c>
      <c r="H69" s="12">
        <f>IF(VLOOKUP($A69,값!$A:$W,MATCH(Main!H$1,값!$2:$2,0),0)="",NA(),VLOOKUP($A69,값!$A:$W,MATCH(Main!H$1,값!$2:$2,0),0))</f>
        <v>-2.5999999999999999E-3</v>
      </c>
      <c r="I69" s="12">
        <f>IF(VLOOKUP($A69,값!$A:$W,MATCH(Main!I$1,값!$2:$2,0),0)="",NA(),VLOOKUP($A69,값!$A:$W,MATCH(Main!I$1,값!$2:$2,0),0))</f>
        <v>3.8399999999999997E-2</v>
      </c>
      <c r="J69" s="12">
        <f>IF(VLOOKUP($A69,값!$A:$W,MATCH(Main!J$1,값!$2:$2,0),0)="",NA(),VLOOKUP($A69,값!$A:$W,MATCH(Main!J$1,값!$2:$2,0),0))</f>
        <v>7.4000000000000003E-3</v>
      </c>
      <c r="K69" s="12">
        <f>IF(VLOOKUP($A69,값!$A:$W,MATCH(Main!K$1,값!$2:$2,0),0)="",NA(),VLOOKUP($A69,값!$A:$W,MATCH(Main!K$1,값!$2:$2,0),0))</f>
        <v>1.6382639784432218E-2</v>
      </c>
      <c r="L69" s="12">
        <f>IF(VLOOKUP($A69,값!$A:$W,MATCH(Main!L$1,값!$2:$2,0),0)="",NA(),VLOOKUP($A69,값!$A:$W,MATCH(Main!L$1,값!$2:$2,0),0))</f>
        <v>2.8180000000000002E-3</v>
      </c>
      <c r="M69" s="12">
        <f>IF(VLOOKUP($A69,값!$A:$W,MATCH(Main!M$1,값!$2:$2,0),0)="",NA(),VLOOKUP($A69,값!$A:$W,MATCH(Main!M$1,값!$2:$2,0),0))</f>
        <v>1.8700000000000001E-2</v>
      </c>
      <c r="N69" s="12">
        <f>IF(VLOOKUP($A69,값!$A:$W,MATCH(Main!N$1,값!$2:$2,0),0)="",NA(),VLOOKUP($A69,값!$A:$W,MATCH(Main!N$1,값!$2:$2,0),0))</f>
        <v>2.8180000000000002E-3</v>
      </c>
      <c r="O69" s="12">
        <f>IF(VLOOKUP($A69,값!$A:$W,MATCH(Main!O$1,값!$2:$2,0),0)="",NA(),VLOOKUP($A69,값!$A:$W,MATCH(Main!O$1,값!$2:$2,0),0))</f>
        <v>-2.4797E-2</v>
      </c>
      <c r="P69" s="12">
        <f>IF(VLOOKUP($A69,값!$A:$W,MATCH(Main!P$1,값!$2:$2,0),0)="",NA(),VLOOKUP($A69,값!$A:$W,MATCH(Main!P$1,값!$2:$2,0),0))</f>
        <v>1.2892799999999999E-2</v>
      </c>
      <c r="Q69" s="12">
        <f>IF(VLOOKUP($A69,값!$A:$W,MATCH(Main!Q$1,값!$2:$2,0),0)="",NA(),VLOOKUP($A69,값!$A:$W,MATCH(Main!Q$1,값!$2:$2,0),0))</f>
        <v>-5.3940175818143588E-2</v>
      </c>
      <c r="R69" s="12">
        <f>IF(VLOOKUP($A69,값!$A:$W,MATCH(Main!R$1,값!$2:$2,0),0)="",NA(),VLOOKUP($A69,값!$A:$W,MATCH(Main!R$1,값!$2:$2,0),0))</f>
        <v>1.5900000000000001E-2</v>
      </c>
      <c r="S69" s="12">
        <f>IF(VLOOKUP($A69,값!$A:$W,MATCH(Main!S$1,값!$2:$2,0),0)="",NA(),VLOOKUP($A69,값!$A:$W,MATCH(Main!S$1,값!$2:$2,0),0))</f>
        <v>1.5900000000000001E-2</v>
      </c>
      <c r="T69" s="12">
        <f>IF(VLOOKUP($A69,값!$A:$W,MATCH(Main!T$1,값!$2:$2,0),0)="",NA(),VLOOKUP($A69,값!$A:$W,MATCH(Main!T$1,값!$2:$2,0),0))</f>
        <v>1.5900000000000001E-2</v>
      </c>
      <c r="U69" s="12">
        <f>IF(VLOOKUP($A69,값!$A:$W,MATCH(Main!U$1,값!$2:$2,0),0)="",NA(),VLOOKUP($A69,값!$A:$W,MATCH(Main!U$1,값!$2:$2,0),0))</f>
        <v>1.5900000000000001E-2</v>
      </c>
      <c r="V69" s="12">
        <f>IF(VLOOKUP($A69,값!$A:$W,MATCH(Main!V$1,값!$2:$2,0),0)="",NA(),VLOOKUP($A69,값!$A:$W,MATCH(Main!V$1,값!$2:$2,0),0))</f>
        <v>-2.3744809851080739E-2</v>
      </c>
    </row>
    <row r="70" spans="1:22" x14ac:dyDescent="0.2">
      <c r="A70" s="1">
        <v>42825</v>
      </c>
      <c r="B70" s="12">
        <f>IF(VLOOKUP($A70,값!$A:$W,MATCH(Main!B$1,값!$2:$2,0),0)="",NA(),VLOOKUP($A70,값!$A:$W,MATCH(Main!B$1,값!$2:$2,0),0))</f>
        <v>4.3799999999999999E-2</v>
      </c>
      <c r="C70" s="12">
        <f>IF(VLOOKUP($A70,값!$A:$W,MATCH(Main!C$1,값!$2:$2,0),0)="",NA(),VLOOKUP($A70,값!$A:$W,MATCH(Main!C$1,값!$2:$2,0),0))</f>
        <v>3.0800000000000001E-2</v>
      </c>
      <c r="D70" s="12">
        <f>IF(VLOOKUP($A70,값!$A:$W,MATCH(Main!D$1,값!$2:$2,0),0)="",NA(),VLOOKUP($A70,값!$A:$W,MATCH(Main!D$1,값!$2:$2,0),0))</f>
        <v>3.0800000000000001E-2</v>
      </c>
      <c r="E70" s="12">
        <f>IF(VLOOKUP($A70,값!$A:$W,MATCH(Main!E$1,값!$2:$2,0),0)="",NA(),VLOOKUP($A70,값!$A:$W,MATCH(Main!E$1,값!$2:$2,0),0))</f>
        <v>2.53E-2</v>
      </c>
      <c r="F70" s="12">
        <f>IF(VLOOKUP($A70,값!$A:$W,MATCH(Main!F$1,값!$2:$2,0),0)="",NA(),VLOOKUP($A70,값!$A:$W,MATCH(Main!F$1,값!$2:$2,0),0))</f>
        <v>2.6499999999999999E-2</v>
      </c>
      <c r="G70" s="12">
        <f>IF(VLOOKUP($A70,값!$A:$W,MATCH(Main!G$1,값!$2:$2,0),0)="",NA(),VLOOKUP($A70,값!$A:$W,MATCH(Main!G$1,값!$2:$2,0),0))</f>
        <v>2.53E-2</v>
      </c>
      <c r="H70" s="12">
        <f>IF(VLOOKUP($A70,값!$A:$W,MATCH(Main!H$1,값!$2:$2,0),0)="",NA(),VLOOKUP($A70,값!$A:$W,MATCH(Main!H$1,값!$2:$2,0),0))</f>
        <v>2.5700000000000001E-2</v>
      </c>
      <c r="I70" s="12">
        <f>IF(VLOOKUP($A70,값!$A:$W,MATCH(Main!I$1,값!$2:$2,0),0)="",NA(),VLOOKUP($A70,값!$A:$W,MATCH(Main!I$1,값!$2:$2,0),0))</f>
        <v>2.5899999999999999E-2</v>
      </c>
      <c r="J70" s="12">
        <f>IF(VLOOKUP($A70,값!$A:$W,MATCH(Main!J$1,값!$2:$2,0),0)="",NA(),VLOOKUP($A70,값!$A:$W,MATCH(Main!J$1,값!$2:$2,0),0))</f>
        <v>5.7599999999999998E-2</v>
      </c>
      <c r="K70" s="12">
        <f>IF(VLOOKUP($A70,값!$A:$W,MATCH(Main!K$1,값!$2:$2,0),0)="",NA(),VLOOKUP($A70,값!$A:$W,MATCH(Main!K$1,값!$2:$2,0),0))</f>
        <v>1.2112727915434274E-2</v>
      </c>
      <c r="L70" s="12">
        <f>IF(VLOOKUP($A70,값!$A:$W,MATCH(Main!L$1,값!$2:$2,0),0)="",NA(),VLOOKUP($A70,값!$A:$W,MATCH(Main!L$1,값!$2:$2,0),0))</f>
        <v>3.0100999999999999E-2</v>
      </c>
      <c r="M70" s="12">
        <f>IF(VLOOKUP($A70,값!$A:$W,MATCH(Main!M$1,값!$2:$2,0),0)="",NA(),VLOOKUP($A70,값!$A:$W,MATCH(Main!M$1,값!$2:$2,0),0))</f>
        <v>2.9700000000000001E-2</v>
      </c>
      <c r="N70" s="12">
        <f>IF(VLOOKUP($A70,값!$A:$W,MATCH(Main!N$1,값!$2:$2,0),0)="",NA(),VLOOKUP($A70,값!$A:$W,MATCH(Main!N$1,값!$2:$2,0),0))</f>
        <v>3.0100999999999999E-2</v>
      </c>
      <c r="O70" s="12">
        <f>IF(VLOOKUP($A70,값!$A:$W,MATCH(Main!O$1,값!$2:$2,0),0)="",NA(),VLOOKUP($A70,값!$A:$W,MATCH(Main!O$1,값!$2:$2,0),0))</f>
        <v>2.0063999999999999E-2</v>
      </c>
      <c r="P70" s="12">
        <f>IF(VLOOKUP($A70,값!$A:$W,MATCH(Main!P$1,값!$2:$2,0),0)="",NA(),VLOOKUP($A70,값!$A:$W,MATCH(Main!P$1,값!$2:$2,0),0))</f>
        <v>2.4556700000000001E-2</v>
      </c>
      <c r="Q70" s="12">
        <f>IF(VLOOKUP($A70,값!$A:$W,MATCH(Main!Q$1,값!$2:$2,0),0)="",NA(),VLOOKUP($A70,값!$A:$W,MATCH(Main!Q$1,값!$2:$2,0),0))</f>
        <v>2.2966010527932124E-2</v>
      </c>
      <c r="R70" s="12">
        <f>IF(VLOOKUP($A70,값!$A:$W,MATCH(Main!R$1,값!$2:$2,0),0)="",NA(),VLOOKUP($A70,값!$A:$W,MATCH(Main!R$1,값!$2:$2,0),0))</f>
        <v>7.0099999999999996E-2</v>
      </c>
      <c r="S70" s="12">
        <f>IF(VLOOKUP($A70,값!$A:$W,MATCH(Main!S$1,값!$2:$2,0),0)="",NA(),VLOOKUP($A70,값!$A:$W,MATCH(Main!S$1,값!$2:$2,0),0))</f>
        <v>7.0099999999999996E-2</v>
      </c>
      <c r="T70" s="12">
        <f>IF(VLOOKUP($A70,값!$A:$W,MATCH(Main!T$1,값!$2:$2,0),0)="",NA(),VLOOKUP($A70,값!$A:$W,MATCH(Main!T$1,값!$2:$2,0),0))</f>
        <v>7.0099999999999996E-2</v>
      </c>
      <c r="U70" s="12">
        <f>IF(VLOOKUP($A70,값!$A:$W,MATCH(Main!U$1,값!$2:$2,0),0)="",NA(),VLOOKUP($A70,값!$A:$W,MATCH(Main!U$1,값!$2:$2,0),0))</f>
        <v>7.0099999999999996E-2</v>
      </c>
      <c r="V70" s="12">
        <f>IF(VLOOKUP($A70,값!$A:$W,MATCH(Main!V$1,값!$2:$2,0),0)="",NA(),VLOOKUP($A70,값!$A:$W,MATCH(Main!V$1,값!$2:$2,0),0))</f>
        <v>1.3548903779560195E-2</v>
      </c>
    </row>
    <row r="71" spans="1:22" x14ac:dyDescent="0.2">
      <c r="A71" s="1">
        <v>42916</v>
      </c>
      <c r="B71" s="12">
        <f>IF(VLOOKUP($A71,값!$A:$W,MATCH(Main!B$1,값!$2:$2,0),0)="",NA(),VLOOKUP($A71,값!$A:$W,MATCH(Main!B$1,값!$2:$2,0),0))</f>
        <v>6.7500000000000004E-2</v>
      </c>
      <c r="C71" s="12">
        <f>IF(VLOOKUP($A71,값!$A:$W,MATCH(Main!C$1,값!$2:$2,0),0)="",NA(),VLOOKUP($A71,값!$A:$W,MATCH(Main!C$1,값!$2:$2,0),0))</f>
        <v>1.95E-2</v>
      </c>
      <c r="D71" s="12">
        <f>IF(VLOOKUP($A71,값!$A:$W,MATCH(Main!D$1,값!$2:$2,0),0)="",NA(),VLOOKUP($A71,값!$A:$W,MATCH(Main!D$1,값!$2:$2,0),0))</f>
        <v>1.95E-2</v>
      </c>
      <c r="E71" s="12">
        <f>IF(VLOOKUP($A71,값!$A:$W,MATCH(Main!E$1,값!$2:$2,0),0)="",NA(),VLOOKUP($A71,값!$A:$W,MATCH(Main!E$1,값!$2:$2,0),0))</f>
        <v>5.3600000000000002E-2</v>
      </c>
      <c r="F71" s="12">
        <f>IF(VLOOKUP($A71,값!$A:$W,MATCH(Main!F$1,값!$2:$2,0),0)="",NA(),VLOOKUP($A71,값!$A:$W,MATCH(Main!F$1,값!$2:$2,0),0))</f>
        <v>4.1700000000000001E-2</v>
      </c>
      <c r="G71" s="12">
        <f>IF(VLOOKUP($A71,값!$A:$W,MATCH(Main!G$1,값!$2:$2,0),0)="",NA(),VLOOKUP($A71,값!$A:$W,MATCH(Main!G$1,값!$2:$2,0),0))</f>
        <v>5.3600000000000002E-2</v>
      </c>
      <c r="H71" s="12">
        <f>IF(VLOOKUP($A71,값!$A:$W,MATCH(Main!H$1,값!$2:$2,0),0)="",NA(),VLOOKUP($A71,값!$A:$W,MATCH(Main!H$1,값!$2:$2,0),0))</f>
        <v>3.5299999999999998E-2</v>
      </c>
      <c r="I71" s="12">
        <f>IF(VLOOKUP($A71,값!$A:$W,MATCH(Main!I$1,값!$2:$2,0),0)="",NA(),VLOOKUP($A71,값!$A:$W,MATCH(Main!I$1,값!$2:$2,0),0))</f>
        <v>3.04E-2</v>
      </c>
      <c r="J71" s="12">
        <f>IF(VLOOKUP($A71,값!$A:$W,MATCH(Main!J$1,값!$2:$2,0),0)="",NA(),VLOOKUP($A71,값!$A:$W,MATCH(Main!J$1,값!$2:$2,0),0))</f>
        <v>4.5900000000000003E-2</v>
      </c>
      <c r="K71" s="12">
        <f>IF(VLOOKUP($A71,값!$A:$W,MATCH(Main!K$1,값!$2:$2,0),0)="",NA(),VLOOKUP($A71,값!$A:$W,MATCH(Main!K$1,값!$2:$2,0),0))</f>
        <v>3.7174435137534712E-3</v>
      </c>
      <c r="L71" s="12">
        <f>IF(VLOOKUP($A71,값!$A:$W,MATCH(Main!L$1,값!$2:$2,0),0)="",NA(),VLOOKUP($A71,값!$A:$W,MATCH(Main!L$1,값!$2:$2,0),0))</f>
        <v>3.0033000000000001E-2</v>
      </c>
      <c r="M71" s="12">
        <f>IF(VLOOKUP($A71,값!$A:$W,MATCH(Main!M$1,값!$2:$2,0),0)="",NA(),VLOOKUP($A71,값!$A:$W,MATCH(Main!M$1,값!$2:$2,0),0))</f>
        <v>4.3799999999999999E-2</v>
      </c>
      <c r="N71" s="12">
        <f>IF(VLOOKUP($A71,값!$A:$W,MATCH(Main!N$1,값!$2:$2,0),0)="",NA(),VLOOKUP($A71,값!$A:$W,MATCH(Main!N$1,값!$2:$2,0),0))</f>
        <v>3.0033000000000001E-2</v>
      </c>
      <c r="O71" s="12">
        <f>IF(VLOOKUP($A71,값!$A:$W,MATCH(Main!O$1,값!$2:$2,0),0)="",NA(),VLOOKUP($A71,값!$A:$W,MATCH(Main!O$1,값!$2:$2,0),0))</f>
        <v>2.111E-2</v>
      </c>
      <c r="P71" s="12">
        <f>IF(VLOOKUP($A71,값!$A:$W,MATCH(Main!P$1,값!$2:$2,0),0)="",NA(),VLOOKUP($A71,값!$A:$W,MATCH(Main!P$1,값!$2:$2,0),0))</f>
        <v>3.2381600000000003E-2</v>
      </c>
      <c r="Q71" s="12">
        <f>IF(VLOOKUP($A71,값!$A:$W,MATCH(Main!Q$1,값!$2:$2,0),0)="",NA(),VLOOKUP($A71,값!$A:$W,MATCH(Main!Q$1,값!$2:$2,0),0))</f>
        <v>3.005515045273377E-2</v>
      </c>
      <c r="R71" s="12">
        <f>IF(VLOOKUP($A71,값!$A:$W,MATCH(Main!R$1,값!$2:$2,0),0)="",NA(),VLOOKUP($A71,값!$A:$W,MATCH(Main!R$1,값!$2:$2,0),0))</f>
        <v>5.2900000000000003E-2</v>
      </c>
      <c r="S71" s="12">
        <f>IF(VLOOKUP($A71,값!$A:$W,MATCH(Main!S$1,값!$2:$2,0),0)="",NA(),VLOOKUP($A71,값!$A:$W,MATCH(Main!S$1,값!$2:$2,0),0))</f>
        <v>5.2900000000000003E-2</v>
      </c>
      <c r="T71" s="12">
        <f>IF(VLOOKUP($A71,값!$A:$W,MATCH(Main!T$1,값!$2:$2,0),0)="",NA(),VLOOKUP($A71,값!$A:$W,MATCH(Main!T$1,값!$2:$2,0),0))</f>
        <v>5.2900000000000003E-2</v>
      </c>
      <c r="U71" s="12">
        <f>IF(VLOOKUP($A71,값!$A:$W,MATCH(Main!U$1,값!$2:$2,0),0)="",NA(),VLOOKUP($A71,값!$A:$W,MATCH(Main!U$1,값!$2:$2,0),0))</f>
        <v>5.2900000000000003E-2</v>
      </c>
      <c r="V71" s="12">
        <f>IF(VLOOKUP($A71,값!$A:$W,MATCH(Main!V$1,값!$2:$2,0),0)="",NA(),VLOOKUP($A71,값!$A:$W,MATCH(Main!V$1,값!$2:$2,0),0))</f>
        <v>2.9568204834791167E-2</v>
      </c>
    </row>
    <row r="72" spans="1:22" x14ac:dyDescent="0.2">
      <c r="A72" s="1">
        <v>43008</v>
      </c>
      <c r="B72" s="12">
        <f>IF(VLOOKUP($A72,값!$A:$W,MATCH(Main!B$1,값!$2:$2,0),0)="",NA(),VLOOKUP($A72,값!$A:$W,MATCH(Main!B$1,값!$2:$2,0),0))</f>
        <v>4.4299999999999999E-2</v>
      </c>
      <c r="C72" s="12">
        <f>IF(VLOOKUP($A72,값!$A:$W,MATCH(Main!C$1,값!$2:$2,0),0)="",NA(),VLOOKUP($A72,값!$A:$W,MATCH(Main!C$1,값!$2:$2,0),0))</f>
        <v>3.7400000000000003E-2</v>
      </c>
      <c r="D72" s="12">
        <f>IF(VLOOKUP($A72,값!$A:$W,MATCH(Main!D$1,값!$2:$2,0),0)="",NA(),VLOOKUP($A72,값!$A:$W,MATCH(Main!D$1,값!$2:$2,0),0))</f>
        <v>3.7400000000000003E-2</v>
      </c>
      <c r="E72" s="12">
        <f>IF(VLOOKUP($A72,값!$A:$W,MATCH(Main!E$1,값!$2:$2,0),0)="",NA(),VLOOKUP($A72,값!$A:$W,MATCH(Main!E$1,값!$2:$2,0),0))</f>
        <v>4.24E-2</v>
      </c>
      <c r="F72" s="12">
        <f>IF(VLOOKUP($A72,값!$A:$W,MATCH(Main!F$1,값!$2:$2,0),0)="",NA(),VLOOKUP($A72,값!$A:$W,MATCH(Main!F$1,값!$2:$2,0),0))</f>
        <v>3.7999999999999999E-2</v>
      </c>
      <c r="G72" s="12">
        <f>IF(VLOOKUP($A72,값!$A:$W,MATCH(Main!G$1,값!$2:$2,0),0)="",NA(),VLOOKUP($A72,값!$A:$W,MATCH(Main!G$1,값!$2:$2,0),0))</f>
        <v>4.24E-2</v>
      </c>
      <c r="H72" s="12">
        <f>IF(VLOOKUP($A72,값!$A:$W,MATCH(Main!H$1,값!$2:$2,0),0)="",NA(),VLOOKUP($A72,값!$A:$W,MATCH(Main!H$1,값!$2:$2,0),0))</f>
        <v>2.24E-2</v>
      </c>
      <c r="I72" s="12">
        <f>IF(VLOOKUP($A72,값!$A:$W,MATCH(Main!I$1,값!$2:$2,0),0)="",NA(),VLOOKUP($A72,값!$A:$W,MATCH(Main!I$1,값!$2:$2,0),0))</f>
        <v>3.6900000000000002E-2</v>
      </c>
      <c r="J72" s="12">
        <f>IF(VLOOKUP($A72,값!$A:$W,MATCH(Main!J$1,값!$2:$2,0),0)="",NA(),VLOOKUP($A72,값!$A:$W,MATCH(Main!J$1,값!$2:$2,0),0))</f>
        <v>5.3800000000000001E-2</v>
      </c>
      <c r="K72" s="12">
        <f>IF(VLOOKUP($A72,값!$A:$W,MATCH(Main!K$1,값!$2:$2,0),0)="",NA(),VLOOKUP($A72,값!$A:$W,MATCH(Main!K$1,값!$2:$2,0),0))</f>
        <v>1.315217863504059E-2</v>
      </c>
      <c r="L72" s="12">
        <f>IF(VLOOKUP($A72,값!$A:$W,MATCH(Main!L$1,값!$2:$2,0),0)="",NA(),VLOOKUP($A72,값!$A:$W,MATCH(Main!L$1,값!$2:$2,0),0))</f>
        <v>3.2766999999999998E-2</v>
      </c>
      <c r="M72" s="12">
        <f>IF(VLOOKUP($A72,값!$A:$W,MATCH(Main!M$1,값!$2:$2,0),0)="",NA(),VLOOKUP($A72,값!$A:$W,MATCH(Main!M$1,값!$2:$2,0),0))</f>
        <v>3.2599999999999997E-2</v>
      </c>
      <c r="N72" s="12">
        <f>IF(VLOOKUP($A72,값!$A:$W,MATCH(Main!N$1,값!$2:$2,0),0)="",NA(),VLOOKUP($A72,값!$A:$W,MATCH(Main!N$1,값!$2:$2,0),0))</f>
        <v>3.2766999999999998E-2</v>
      </c>
      <c r="O72" s="12">
        <f>IF(VLOOKUP($A72,값!$A:$W,MATCH(Main!O$1,값!$2:$2,0),0)="",NA(),VLOOKUP($A72,값!$A:$W,MATCH(Main!O$1,값!$2:$2,0),0))</f>
        <v>1.0725999999999999E-2</v>
      </c>
      <c r="P72" s="12">
        <f>IF(VLOOKUP($A72,값!$A:$W,MATCH(Main!P$1,값!$2:$2,0),0)="",NA(),VLOOKUP($A72,값!$A:$W,MATCH(Main!P$1,값!$2:$2,0),0))</f>
        <v>4.4575499999999997E-2</v>
      </c>
      <c r="Q72" s="12">
        <f>IF(VLOOKUP($A72,값!$A:$W,MATCH(Main!Q$1,값!$2:$2,0),0)="",NA(),VLOOKUP($A72,값!$A:$W,MATCH(Main!Q$1,값!$2:$2,0),0))</f>
        <v>1.839570091729259E-2</v>
      </c>
      <c r="R72" s="12">
        <f>IF(VLOOKUP($A72,값!$A:$W,MATCH(Main!R$1,값!$2:$2,0),0)="",NA(),VLOOKUP($A72,값!$A:$W,MATCH(Main!R$1,값!$2:$2,0),0))</f>
        <v>5.2400000000000002E-2</v>
      </c>
      <c r="S72" s="12">
        <f>IF(VLOOKUP($A72,값!$A:$W,MATCH(Main!S$1,값!$2:$2,0),0)="",NA(),VLOOKUP($A72,값!$A:$W,MATCH(Main!S$1,값!$2:$2,0),0))</f>
        <v>5.2400000000000002E-2</v>
      </c>
      <c r="T72" s="12">
        <f>IF(VLOOKUP($A72,값!$A:$W,MATCH(Main!T$1,값!$2:$2,0),0)="",NA(),VLOOKUP($A72,값!$A:$W,MATCH(Main!T$1,값!$2:$2,0),0))</f>
        <v>5.2400000000000002E-2</v>
      </c>
      <c r="U72" s="12">
        <f>IF(VLOOKUP($A72,값!$A:$W,MATCH(Main!U$1,값!$2:$2,0),0)="",NA(),VLOOKUP($A72,값!$A:$W,MATCH(Main!U$1,값!$2:$2,0),0))</f>
        <v>5.2400000000000002E-2</v>
      </c>
      <c r="V72" s="12">
        <f>IF(VLOOKUP($A72,값!$A:$W,MATCH(Main!V$1,값!$2:$2,0),0)="",NA(),VLOOKUP($A72,값!$A:$W,MATCH(Main!V$1,값!$2:$2,0),0))</f>
        <v>1.4283534259118102E-2</v>
      </c>
    </row>
    <row r="73" spans="1:22" x14ac:dyDescent="0.2">
      <c r="A73" s="1">
        <v>43100</v>
      </c>
      <c r="B73" s="12">
        <f>IF(VLOOKUP($A73,값!$A:$W,MATCH(Main!B$1,값!$2:$2,0),0)="",NA(),VLOOKUP($A73,값!$A:$W,MATCH(Main!B$1,값!$2:$2,0),0))</f>
        <v>5.6599999999999998E-2</v>
      </c>
      <c r="C73" s="12">
        <f>IF(VLOOKUP($A73,값!$A:$W,MATCH(Main!C$1,값!$2:$2,0),0)="",NA(),VLOOKUP($A73,값!$A:$W,MATCH(Main!C$1,값!$2:$2,0),0))</f>
        <v>3.78E-2</v>
      </c>
      <c r="D73" s="12">
        <f>IF(VLOOKUP($A73,값!$A:$W,MATCH(Main!D$1,값!$2:$2,0),0)="",NA(),VLOOKUP($A73,값!$A:$W,MATCH(Main!D$1,값!$2:$2,0),0))</f>
        <v>3.78E-2</v>
      </c>
      <c r="E73" s="12">
        <f>IF(VLOOKUP($A73,값!$A:$W,MATCH(Main!E$1,값!$2:$2,0),0)="",NA(),VLOOKUP($A73,값!$A:$W,MATCH(Main!E$1,값!$2:$2,0),0))</f>
        <v>7.1400000000000005E-2</v>
      </c>
      <c r="F73" s="12">
        <f>IF(VLOOKUP($A73,값!$A:$W,MATCH(Main!F$1,값!$2:$2,0),0)="",NA(),VLOOKUP($A73,값!$A:$W,MATCH(Main!F$1,값!$2:$2,0),0))</f>
        <v>4.58E-2</v>
      </c>
      <c r="G73" s="12">
        <f>IF(VLOOKUP($A73,값!$A:$W,MATCH(Main!G$1,값!$2:$2,0),0)="",NA(),VLOOKUP($A73,값!$A:$W,MATCH(Main!G$1,값!$2:$2,0),0))</f>
        <v>7.1400000000000005E-2</v>
      </c>
      <c r="H73" s="12">
        <f>IF(VLOOKUP($A73,값!$A:$W,MATCH(Main!H$1,값!$2:$2,0),0)="",NA(),VLOOKUP($A73,값!$A:$W,MATCH(Main!H$1,값!$2:$2,0),0))</f>
        <v>3.0099999999999998E-2</v>
      </c>
      <c r="I73" s="12">
        <f>IF(VLOOKUP($A73,값!$A:$W,MATCH(Main!I$1,값!$2:$2,0),0)="",NA(),VLOOKUP($A73,값!$A:$W,MATCH(Main!I$1,값!$2:$2,0),0))</f>
        <v>3.27E-2</v>
      </c>
      <c r="J73" s="12">
        <f>IF(VLOOKUP($A73,값!$A:$W,MATCH(Main!J$1,값!$2:$2,0),0)="",NA(),VLOOKUP($A73,값!$A:$W,MATCH(Main!J$1,값!$2:$2,0),0))</f>
        <v>6.2799999999999995E-2</v>
      </c>
      <c r="K73" s="12">
        <f>IF(VLOOKUP($A73,값!$A:$W,MATCH(Main!K$1,값!$2:$2,0),0)="",NA(),VLOOKUP($A73,값!$A:$W,MATCH(Main!K$1,값!$2:$2,0),0))</f>
        <v>1.1595672389465683E-2</v>
      </c>
      <c r="L73" s="12">
        <f>IF(VLOOKUP($A73,값!$A:$W,MATCH(Main!L$1,값!$2:$2,0),0)="",NA(),VLOOKUP($A73,값!$A:$W,MATCH(Main!L$1,값!$2:$2,0),0))</f>
        <v>2.6804999999999999E-2</v>
      </c>
      <c r="M73" s="12">
        <f>IF(VLOOKUP($A73,값!$A:$W,MATCH(Main!M$1,값!$2:$2,0),0)="",NA(),VLOOKUP($A73,값!$A:$W,MATCH(Main!M$1,값!$2:$2,0),0))</f>
        <v>4.2000000000000003E-2</v>
      </c>
      <c r="N73" s="12">
        <f>IF(VLOOKUP($A73,값!$A:$W,MATCH(Main!N$1,값!$2:$2,0),0)="",NA(),VLOOKUP($A73,값!$A:$W,MATCH(Main!N$1,값!$2:$2,0),0))</f>
        <v>2.6804999999999999E-2</v>
      </c>
      <c r="O73" s="12">
        <f>IF(VLOOKUP($A73,값!$A:$W,MATCH(Main!O$1,값!$2:$2,0),0)="",NA(),VLOOKUP($A73,값!$A:$W,MATCH(Main!O$1,값!$2:$2,0),0))</f>
        <v>3.5929999999999998E-3</v>
      </c>
      <c r="P73" s="12">
        <f>IF(VLOOKUP($A73,값!$A:$W,MATCH(Main!P$1,값!$2:$2,0),0)="",NA(),VLOOKUP($A73,값!$A:$W,MATCH(Main!P$1,값!$2:$2,0),0))</f>
        <v>2.7152300000000001E-2</v>
      </c>
      <c r="Q73" s="12">
        <f>IF(VLOOKUP($A73,값!$A:$W,MATCH(Main!Q$1,값!$2:$2,0),0)="",NA(),VLOOKUP($A73,값!$A:$W,MATCH(Main!Q$1,값!$2:$2,0),0))</f>
        <v>3.8305314004429381E-2</v>
      </c>
      <c r="R73" s="12">
        <f>IF(VLOOKUP($A73,값!$A:$W,MATCH(Main!R$1,값!$2:$2,0),0)="",NA(),VLOOKUP($A73,값!$A:$W,MATCH(Main!R$1,값!$2:$2,0),0))</f>
        <v>4.53E-2</v>
      </c>
      <c r="S73" s="12">
        <f>IF(VLOOKUP($A73,값!$A:$W,MATCH(Main!S$1,값!$2:$2,0),0)="",NA(),VLOOKUP($A73,값!$A:$W,MATCH(Main!S$1,값!$2:$2,0),0))</f>
        <v>4.53E-2</v>
      </c>
      <c r="T73" s="12">
        <f>IF(VLOOKUP($A73,값!$A:$W,MATCH(Main!T$1,값!$2:$2,0),0)="",NA(),VLOOKUP($A73,값!$A:$W,MATCH(Main!T$1,값!$2:$2,0),0))</f>
        <v>4.53E-2</v>
      </c>
      <c r="U73" s="12">
        <f>IF(VLOOKUP($A73,값!$A:$W,MATCH(Main!U$1,값!$2:$2,0),0)="",NA(),VLOOKUP($A73,값!$A:$W,MATCH(Main!U$1,값!$2:$2,0),0))</f>
        <v>4.53E-2</v>
      </c>
      <c r="V73" s="12">
        <f>IF(VLOOKUP($A73,값!$A:$W,MATCH(Main!V$1,값!$2:$2,0),0)="",NA(),VLOOKUP($A73,값!$A:$W,MATCH(Main!V$1,값!$2:$2,0),0))</f>
        <v>1.7140969317646082E-2</v>
      </c>
    </row>
    <row r="74" spans="1:22" x14ac:dyDescent="0.2">
      <c r="A74" s="1">
        <v>43190</v>
      </c>
      <c r="B74" s="12">
        <f>IF(VLOOKUP($A74,값!$A:$W,MATCH(Main!B$1,값!$2:$2,0),0)="",NA(),VLOOKUP($A74,값!$A:$W,MATCH(Main!B$1,값!$2:$2,0),0))</f>
        <v>2.9399999999999999E-2</v>
      </c>
      <c r="C74" s="12">
        <f>IF(VLOOKUP($A74,값!$A:$W,MATCH(Main!C$1,값!$2:$2,0),0)="",NA(),VLOOKUP($A74,값!$A:$W,MATCH(Main!C$1,값!$2:$2,0),0))</f>
        <v>4.3200000000000002E-2</v>
      </c>
      <c r="D74" s="12">
        <f>IF(VLOOKUP($A74,값!$A:$W,MATCH(Main!D$1,값!$2:$2,0),0)="",NA(),VLOOKUP($A74,값!$A:$W,MATCH(Main!D$1,값!$2:$2,0),0))</f>
        <v>4.3200000000000002E-2</v>
      </c>
      <c r="E74" s="12">
        <f>IF(VLOOKUP($A74,값!$A:$W,MATCH(Main!E$1,값!$2:$2,0),0)="",NA(),VLOOKUP($A74,값!$A:$W,MATCH(Main!E$1,값!$2:$2,0),0))</f>
        <v>2.6200000000000001E-2</v>
      </c>
      <c r="F74" s="12">
        <f>IF(VLOOKUP($A74,값!$A:$W,MATCH(Main!F$1,값!$2:$2,0),0)="",NA(),VLOOKUP($A74,값!$A:$W,MATCH(Main!F$1,값!$2:$2,0),0))</f>
        <v>3.7900000000000003E-2</v>
      </c>
      <c r="G74" s="12">
        <f>IF(VLOOKUP($A74,값!$A:$W,MATCH(Main!G$1,값!$2:$2,0),0)="",NA(),VLOOKUP($A74,값!$A:$W,MATCH(Main!G$1,값!$2:$2,0),0))</f>
        <v>2.6200000000000001E-2</v>
      </c>
      <c r="H74" s="12">
        <f>IF(VLOOKUP($A74,값!$A:$W,MATCH(Main!H$1,값!$2:$2,0),0)="",NA(),VLOOKUP($A74,값!$A:$W,MATCH(Main!H$1,값!$2:$2,0),0))</f>
        <v>1.3899999999999999E-2</v>
      </c>
      <c r="I74" s="12">
        <f>IF(VLOOKUP($A74,값!$A:$W,MATCH(Main!I$1,값!$2:$2,0),0)="",NA(),VLOOKUP($A74,값!$A:$W,MATCH(Main!I$1,값!$2:$2,0),0))</f>
        <v>1.95E-2</v>
      </c>
      <c r="J74" s="12">
        <f>IF(VLOOKUP($A74,값!$A:$W,MATCH(Main!J$1,값!$2:$2,0),0)="",NA(),VLOOKUP($A74,값!$A:$W,MATCH(Main!J$1,값!$2:$2,0),0))</f>
        <v>2.1100000000000001E-2</v>
      </c>
      <c r="K74" s="12">
        <f>IF(VLOOKUP($A74,값!$A:$W,MATCH(Main!K$1,값!$2:$2,0),0)="",NA(),VLOOKUP($A74,값!$A:$W,MATCH(Main!K$1,값!$2:$2,0),0))</f>
        <v>5.6073329378605319E-3</v>
      </c>
      <c r="L74" s="12">
        <f>IF(VLOOKUP($A74,값!$A:$W,MATCH(Main!L$1,값!$2:$2,0),0)="",NA(),VLOOKUP($A74,값!$A:$W,MATCH(Main!L$1,값!$2:$2,0),0))</f>
        <v>2.3377999999999999E-2</v>
      </c>
      <c r="M74" s="12">
        <f>IF(VLOOKUP($A74,값!$A:$W,MATCH(Main!M$1,값!$2:$2,0),0)="",NA(),VLOOKUP($A74,값!$A:$W,MATCH(Main!M$1,값!$2:$2,0),0))</f>
        <v>2.87E-2</v>
      </c>
      <c r="N74" s="12">
        <f>IF(VLOOKUP($A74,값!$A:$W,MATCH(Main!N$1,값!$2:$2,0),0)="",NA(),VLOOKUP($A74,값!$A:$W,MATCH(Main!N$1,값!$2:$2,0),0))</f>
        <v>2.3377999999999999E-2</v>
      </c>
      <c r="O74" s="12">
        <f>IF(VLOOKUP($A74,값!$A:$W,MATCH(Main!O$1,값!$2:$2,0),0)="",NA(),VLOOKUP($A74,값!$A:$W,MATCH(Main!O$1,값!$2:$2,0),0))</f>
        <v>-3.7666000000000002E-3</v>
      </c>
      <c r="P74" s="12">
        <f>IF(VLOOKUP($A74,값!$A:$W,MATCH(Main!P$1,값!$2:$2,0),0)="",NA(),VLOOKUP($A74,값!$A:$W,MATCH(Main!P$1,값!$2:$2,0),0))</f>
        <v>2.6195300000000001E-2</v>
      </c>
      <c r="Q74" s="12">
        <f>IF(VLOOKUP($A74,값!$A:$W,MATCH(Main!Q$1,값!$2:$2,0),0)="",NA(),VLOOKUP($A74,값!$A:$W,MATCH(Main!Q$1,값!$2:$2,0),0))</f>
        <v>-4.3045688048953923E-2</v>
      </c>
      <c r="R74" s="12">
        <f>IF(VLOOKUP($A74,값!$A:$W,MATCH(Main!R$1,값!$2:$2,0),0)="",NA(),VLOOKUP($A74,값!$A:$W,MATCH(Main!R$1,값!$2:$2,0),0))</f>
        <v>5.1200000000000002E-2</v>
      </c>
      <c r="S74" s="12">
        <f>IF(VLOOKUP($A74,값!$A:$W,MATCH(Main!S$1,값!$2:$2,0),0)="",NA(),VLOOKUP($A74,값!$A:$W,MATCH(Main!S$1,값!$2:$2,0),0))</f>
        <v>5.1200000000000002E-2</v>
      </c>
      <c r="T74" s="12">
        <f>IF(VLOOKUP($A74,값!$A:$W,MATCH(Main!T$1,값!$2:$2,0),0)="",NA(),VLOOKUP($A74,값!$A:$W,MATCH(Main!T$1,값!$2:$2,0),0))</f>
        <v>5.1200000000000002E-2</v>
      </c>
      <c r="U74" s="12">
        <f>IF(VLOOKUP($A74,값!$A:$W,MATCH(Main!U$1,값!$2:$2,0),0)="",NA(),VLOOKUP($A74,값!$A:$W,MATCH(Main!U$1,값!$2:$2,0),0))</f>
        <v>5.1200000000000002E-2</v>
      </c>
      <c r="V74" s="12">
        <f>IF(VLOOKUP($A74,값!$A:$W,MATCH(Main!V$1,값!$2:$2,0),0)="",NA(),VLOOKUP($A74,값!$A:$W,MATCH(Main!V$1,값!$2:$2,0),0))</f>
        <v>-2.5475076840015598E-2</v>
      </c>
    </row>
    <row r="75" spans="1:22" x14ac:dyDescent="0.2">
      <c r="A75" s="1">
        <v>43281</v>
      </c>
      <c r="B75" s="12">
        <f>IF(VLOOKUP($A75,값!$A:$W,MATCH(Main!B$1,값!$2:$2,0),0)="",NA(),VLOOKUP($A75,값!$A:$W,MATCH(Main!B$1,값!$2:$2,0),0))</f>
        <v>4.2999999999999997E-2</v>
      </c>
      <c r="C75" s="12">
        <f>IF(VLOOKUP($A75,값!$A:$W,MATCH(Main!C$1,값!$2:$2,0),0)="",NA(),VLOOKUP($A75,값!$A:$W,MATCH(Main!C$1,값!$2:$2,0),0))</f>
        <v>6.4000000000000001E-2</v>
      </c>
      <c r="D75" s="12">
        <f>IF(VLOOKUP($A75,값!$A:$W,MATCH(Main!D$1,값!$2:$2,0),0)="",NA(),VLOOKUP($A75,값!$A:$W,MATCH(Main!D$1,값!$2:$2,0),0))</f>
        <v>6.4000000000000001E-2</v>
      </c>
      <c r="E75" s="12">
        <f>IF(VLOOKUP($A75,값!$A:$W,MATCH(Main!E$1,값!$2:$2,0),0)="",NA(),VLOOKUP($A75,값!$A:$W,MATCH(Main!E$1,값!$2:$2,0),0))</f>
        <v>3.4299999999999997E-2</v>
      </c>
      <c r="F75" s="12">
        <f>IF(VLOOKUP($A75,값!$A:$W,MATCH(Main!F$1,값!$2:$2,0),0)="",NA(),VLOOKUP($A75,값!$A:$W,MATCH(Main!F$1,값!$2:$2,0),0))</f>
        <v>3.9899999999999998E-2</v>
      </c>
      <c r="G75" s="12">
        <f>IF(VLOOKUP($A75,값!$A:$W,MATCH(Main!G$1,값!$2:$2,0),0)="",NA(),VLOOKUP($A75,값!$A:$W,MATCH(Main!G$1,값!$2:$2,0),0))</f>
        <v>3.4299999999999997E-2</v>
      </c>
      <c r="H75" s="12">
        <f>IF(VLOOKUP($A75,값!$A:$W,MATCH(Main!H$1,값!$2:$2,0),0)="",NA(),VLOOKUP($A75,값!$A:$W,MATCH(Main!H$1,값!$2:$2,0),0))</f>
        <v>9.2999999999999992E-3</v>
      </c>
      <c r="I75" s="12">
        <f>IF(VLOOKUP($A75,값!$A:$W,MATCH(Main!I$1,값!$2:$2,0),0)="",NA(),VLOOKUP($A75,값!$A:$W,MATCH(Main!I$1,값!$2:$2,0),0))</f>
        <v>1.6199999999999999E-2</v>
      </c>
      <c r="J75" s="12">
        <f>IF(VLOOKUP($A75,값!$A:$W,MATCH(Main!J$1,값!$2:$2,0),0)="",NA(),VLOOKUP($A75,값!$A:$W,MATCH(Main!J$1,값!$2:$2,0),0))</f>
        <v>3.8800000000000001E-2</v>
      </c>
      <c r="K75" s="12">
        <f>IF(VLOOKUP($A75,값!$A:$W,MATCH(Main!K$1,값!$2:$2,0),0)="",NA(),VLOOKUP($A75,값!$A:$W,MATCH(Main!K$1,값!$2:$2,0),0))</f>
        <v>1.0845300789785961E-2</v>
      </c>
      <c r="L75" s="12">
        <f>IF(VLOOKUP($A75,값!$A:$W,MATCH(Main!L$1,값!$2:$2,0),0)="",NA(),VLOOKUP($A75,값!$A:$W,MATCH(Main!L$1,값!$2:$2,0),0))</f>
        <v>2.7700000000000001E-4</v>
      </c>
      <c r="M75" s="12">
        <f>IF(VLOOKUP($A75,값!$A:$W,MATCH(Main!M$1,값!$2:$2,0),0)="",NA(),VLOOKUP($A75,값!$A:$W,MATCH(Main!M$1,값!$2:$2,0),0))</f>
        <v>1.23E-2</v>
      </c>
      <c r="N75" s="12">
        <f>IF(VLOOKUP($A75,값!$A:$W,MATCH(Main!N$1,값!$2:$2,0),0)="",NA(),VLOOKUP($A75,값!$A:$W,MATCH(Main!N$1,값!$2:$2,0),0))</f>
        <v>2.7700000000000001E-4</v>
      </c>
      <c r="O75" s="12">
        <f>IF(VLOOKUP($A75,값!$A:$W,MATCH(Main!O$1,값!$2:$2,0),0)="",NA(),VLOOKUP($A75,값!$A:$W,MATCH(Main!O$1,값!$2:$2,0),0))</f>
        <v>6.1450000000000003E-3</v>
      </c>
      <c r="P75" s="12">
        <f>IF(VLOOKUP($A75,값!$A:$W,MATCH(Main!P$1,값!$2:$2,0),0)="",NA(),VLOOKUP($A75,값!$A:$W,MATCH(Main!P$1,값!$2:$2,0),0))</f>
        <v>2.6645599999999998E-2</v>
      </c>
      <c r="Q75" s="12">
        <f>IF(VLOOKUP($A75,값!$A:$W,MATCH(Main!Q$1,값!$2:$2,0),0)="",NA(),VLOOKUP($A75,값!$A:$W,MATCH(Main!Q$1,값!$2:$2,0),0))</f>
        <v>5.4509139359829817E-2</v>
      </c>
      <c r="R75" s="12">
        <f>IF(VLOOKUP($A75,값!$A:$W,MATCH(Main!R$1,값!$2:$2,0),0)="",NA(),VLOOKUP($A75,값!$A:$W,MATCH(Main!R$1,값!$2:$2,0),0))</f>
        <v>-4.8999999999999998E-3</v>
      </c>
      <c r="S75" s="12">
        <f>IF(VLOOKUP($A75,값!$A:$W,MATCH(Main!S$1,값!$2:$2,0),0)="",NA(),VLOOKUP($A75,값!$A:$W,MATCH(Main!S$1,값!$2:$2,0),0))</f>
        <v>-4.8999999999999998E-3</v>
      </c>
      <c r="T75" s="12">
        <f>IF(VLOOKUP($A75,값!$A:$W,MATCH(Main!T$1,값!$2:$2,0),0)="",NA(),VLOOKUP($A75,값!$A:$W,MATCH(Main!T$1,값!$2:$2,0),0))</f>
        <v>-4.8999999999999998E-3</v>
      </c>
      <c r="U75" s="12">
        <f>IF(VLOOKUP($A75,값!$A:$W,MATCH(Main!U$1,값!$2:$2,0),0)="",NA(),VLOOKUP($A75,값!$A:$W,MATCH(Main!U$1,값!$2:$2,0),0))</f>
        <v>-4.8999999999999998E-3</v>
      </c>
      <c r="V75" s="12">
        <f>IF(VLOOKUP($A75,값!$A:$W,MATCH(Main!V$1,값!$2:$2,0),0)="",NA(),VLOOKUP($A75,값!$A:$W,MATCH(Main!V$1,값!$2:$2,0),0))</f>
        <v>-1.3732668940477311E-2</v>
      </c>
    </row>
    <row r="76" spans="1:22" x14ac:dyDescent="0.2">
      <c r="A76" s="1">
        <v>43373</v>
      </c>
      <c r="B76" s="12">
        <f>IF(VLOOKUP($A76,값!$A:$W,MATCH(Main!B$1,값!$2:$2,0),0)="",NA(),VLOOKUP($A76,값!$A:$W,MATCH(Main!B$1,값!$2:$2,0),0))</f>
        <v>3.56E-2</v>
      </c>
      <c r="C76" s="12">
        <f>IF(VLOOKUP($A76,값!$A:$W,MATCH(Main!C$1,값!$2:$2,0),0)="",NA(),VLOOKUP($A76,값!$A:$W,MATCH(Main!C$1,값!$2:$2,0),0))</f>
        <v>6.93E-2</v>
      </c>
      <c r="D76" s="12">
        <f>IF(VLOOKUP($A76,값!$A:$W,MATCH(Main!D$1,값!$2:$2,0),0)="",NA(),VLOOKUP($A76,값!$A:$W,MATCH(Main!D$1,값!$2:$2,0),0))</f>
        <v>6.93E-2</v>
      </c>
      <c r="E76" s="12">
        <f>IF(VLOOKUP($A76,값!$A:$W,MATCH(Main!E$1,값!$2:$2,0),0)="",NA(),VLOOKUP($A76,값!$A:$W,MATCH(Main!E$1,값!$2:$2,0),0))</f>
        <v>4.1000000000000002E-2</v>
      </c>
      <c r="F76" s="12">
        <f>IF(VLOOKUP($A76,값!$A:$W,MATCH(Main!F$1,값!$2:$2,0),0)="",NA(),VLOOKUP($A76,값!$A:$W,MATCH(Main!F$1,값!$2:$2,0),0))</f>
        <v>2.6100000000000002E-2</v>
      </c>
      <c r="G76" s="12">
        <f>IF(VLOOKUP($A76,값!$A:$W,MATCH(Main!G$1,값!$2:$2,0),0)="",NA(),VLOOKUP($A76,값!$A:$W,MATCH(Main!G$1,값!$2:$2,0),0))</f>
        <v>4.1000000000000002E-2</v>
      </c>
      <c r="H76" s="12">
        <f>IF(VLOOKUP($A76,값!$A:$W,MATCH(Main!H$1,값!$2:$2,0),0)="",NA(),VLOOKUP($A76,값!$A:$W,MATCH(Main!H$1,값!$2:$2,0),0))</f>
        <v>1.8599999999999998E-2</v>
      </c>
      <c r="I76" s="12">
        <f>IF(VLOOKUP($A76,값!$A:$W,MATCH(Main!I$1,값!$2:$2,0),0)="",NA(),VLOOKUP($A76,값!$A:$W,MATCH(Main!I$1,값!$2:$2,0),0))</f>
        <v>2.2499999999999999E-2</v>
      </c>
      <c r="J76" s="12">
        <f>IF(VLOOKUP($A76,값!$A:$W,MATCH(Main!J$1,값!$2:$2,0),0)="",NA(),VLOOKUP($A76,값!$A:$W,MATCH(Main!J$1,값!$2:$2,0),0))</f>
        <v>1.1299999999999999E-2</v>
      </c>
      <c r="K76" s="12">
        <f>IF(VLOOKUP($A76,값!$A:$W,MATCH(Main!K$1,값!$2:$2,0),0)="",NA(),VLOOKUP($A76,값!$A:$W,MATCH(Main!K$1,값!$2:$2,0),0))</f>
        <v>7.8607504352266044E-3</v>
      </c>
      <c r="L76" s="12">
        <f>IF(VLOOKUP($A76,값!$A:$W,MATCH(Main!L$1,값!$2:$2,0),0)="",NA(),VLOOKUP($A76,값!$A:$W,MATCH(Main!L$1,값!$2:$2,0),0))</f>
        <v>1.5072E-2</v>
      </c>
      <c r="M76" s="12">
        <f>IF(VLOOKUP($A76,값!$A:$W,MATCH(Main!M$1,값!$2:$2,0),0)="",NA(),VLOOKUP($A76,값!$A:$W,MATCH(Main!M$1,값!$2:$2,0),0))</f>
        <v>1.8200000000000001E-2</v>
      </c>
      <c r="N76" s="12">
        <f>IF(VLOOKUP($A76,값!$A:$W,MATCH(Main!N$1,값!$2:$2,0),0)="",NA(),VLOOKUP($A76,값!$A:$W,MATCH(Main!N$1,값!$2:$2,0),0))</f>
        <v>1.5072E-2</v>
      </c>
      <c r="O76" s="12">
        <f>IF(VLOOKUP($A76,값!$A:$W,MATCH(Main!O$1,값!$2:$2,0),0)="",NA(),VLOOKUP($A76,값!$A:$W,MATCH(Main!O$1,값!$2:$2,0),0))</f>
        <v>1.696E-3</v>
      </c>
      <c r="P76" s="12">
        <f>IF(VLOOKUP($A76,값!$A:$W,MATCH(Main!P$1,값!$2:$2,0),0)="",NA(),VLOOKUP($A76,값!$A:$W,MATCH(Main!P$1,값!$2:$2,0),0))</f>
        <v>2.6862E-2</v>
      </c>
      <c r="Q76" s="12">
        <f>IF(VLOOKUP($A76,값!$A:$W,MATCH(Main!Q$1,값!$2:$2,0),0)="",NA(),VLOOKUP($A76,값!$A:$W,MATCH(Main!Q$1,값!$2:$2,0),0))</f>
        <v>-1.5404390599206286E-3</v>
      </c>
      <c r="R76" s="12">
        <f>IF(VLOOKUP($A76,값!$A:$W,MATCH(Main!R$1,값!$2:$2,0),0)="",NA(),VLOOKUP($A76,값!$A:$W,MATCH(Main!R$1,값!$2:$2,0),0))</f>
        <v>2.0400000000000001E-2</v>
      </c>
      <c r="S76" s="12">
        <f>IF(VLOOKUP($A76,값!$A:$W,MATCH(Main!S$1,값!$2:$2,0),0)="",NA(),VLOOKUP($A76,값!$A:$W,MATCH(Main!S$1,값!$2:$2,0),0))</f>
        <v>2.0400000000000001E-2</v>
      </c>
      <c r="T76" s="12">
        <f>IF(VLOOKUP($A76,값!$A:$W,MATCH(Main!T$1,값!$2:$2,0),0)="",NA(),VLOOKUP($A76,값!$A:$W,MATCH(Main!T$1,값!$2:$2,0),0))</f>
        <v>2.0400000000000001E-2</v>
      </c>
      <c r="U76" s="12">
        <f>IF(VLOOKUP($A76,값!$A:$W,MATCH(Main!U$1,값!$2:$2,0),0)="",NA(),VLOOKUP($A76,값!$A:$W,MATCH(Main!U$1,값!$2:$2,0),0))</f>
        <v>2.0400000000000001E-2</v>
      </c>
      <c r="V76" s="12">
        <f>IF(VLOOKUP($A76,값!$A:$W,MATCH(Main!V$1,값!$2:$2,0),0)="",NA(),VLOOKUP($A76,값!$A:$W,MATCH(Main!V$1,값!$2:$2,0),0))</f>
        <v>1.2890202432991993E-2</v>
      </c>
    </row>
    <row r="77" spans="1:22" x14ac:dyDescent="0.2">
      <c r="A77" s="1">
        <v>43465</v>
      </c>
      <c r="B77" s="12">
        <f>IF(VLOOKUP($A77,값!$A:$W,MATCH(Main!B$1,값!$2:$2,0),0)="",NA(),VLOOKUP($A77,값!$A:$W,MATCH(Main!B$1,값!$2:$2,0),0))</f>
        <v>-1.0200000000000001E-2</v>
      </c>
      <c r="C77" s="12">
        <f>IF(VLOOKUP($A77,값!$A:$W,MATCH(Main!C$1,값!$2:$2,0),0)="",NA(),VLOOKUP($A77,값!$A:$W,MATCH(Main!C$1,값!$2:$2,0),0))</f>
        <v>1.2800000000000001E-2</v>
      </c>
      <c r="D77" s="12">
        <f>IF(VLOOKUP($A77,값!$A:$W,MATCH(Main!D$1,값!$2:$2,0),0)="",NA(),VLOOKUP($A77,값!$A:$W,MATCH(Main!D$1,값!$2:$2,0),0))</f>
        <v>1.2800000000000001E-2</v>
      </c>
      <c r="E77" s="12">
        <f>IF(VLOOKUP($A77,값!$A:$W,MATCH(Main!E$1,값!$2:$2,0),0)="",NA(),VLOOKUP($A77,값!$A:$W,MATCH(Main!E$1,값!$2:$2,0),0))</f>
        <v>-7.4000000000000003E-3</v>
      </c>
      <c r="F77" s="12">
        <f>IF(VLOOKUP($A77,값!$A:$W,MATCH(Main!F$1,값!$2:$2,0),0)="",NA(),VLOOKUP($A77,값!$A:$W,MATCH(Main!F$1,값!$2:$2,0),0))</f>
        <v>-2.8999999999999998E-3</v>
      </c>
      <c r="G77" s="12">
        <f>IF(VLOOKUP($A77,값!$A:$W,MATCH(Main!G$1,값!$2:$2,0),0)="",NA(),VLOOKUP($A77,값!$A:$W,MATCH(Main!G$1,값!$2:$2,0),0))</f>
        <v>-7.4000000000000003E-3</v>
      </c>
      <c r="H77" s="12">
        <f>IF(VLOOKUP($A77,값!$A:$W,MATCH(Main!H$1,값!$2:$2,0),0)="",NA(),VLOOKUP($A77,값!$A:$W,MATCH(Main!H$1,값!$2:$2,0),0))</f>
        <v>7.0000000000000001E-3</v>
      </c>
      <c r="I77" s="12">
        <f>IF(VLOOKUP($A77,값!$A:$W,MATCH(Main!I$1,값!$2:$2,0),0)="",NA(),VLOOKUP($A77,값!$A:$W,MATCH(Main!I$1,값!$2:$2,0),0))</f>
        <v>-8.5000000000000006E-3</v>
      </c>
      <c r="J77" s="12">
        <f>IF(VLOOKUP($A77,값!$A:$W,MATCH(Main!J$1,값!$2:$2,0),0)="",NA(),VLOOKUP($A77,값!$A:$W,MATCH(Main!J$1,값!$2:$2,0),0))</f>
        <v>-1.1000000000000001E-3</v>
      </c>
      <c r="K77" s="12">
        <f>IF(VLOOKUP($A77,값!$A:$W,MATCH(Main!K$1,값!$2:$2,0),0)="",NA(),VLOOKUP($A77,값!$A:$W,MATCH(Main!K$1,값!$2:$2,0),0))</f>
        <v>-3.2366757268384672E-2</v>
      </c>
      <c r="L77" s="12">
        <f>IF(VLOOKUP($A77,값!$A:$W,MATCH(Main!L$1,값!$2:$2,0),0)="",NA(),VLOOKUP($A77,값!$A:$W,MATCH(Main!L$1,값!$2:$2,0),0))</f>
        <v>5.4429999999999999E-3</v>
      </c>
      <c r="M77" s="12">
        <f>IF(VLOOKUP($A77,값!$A:$W,MATCH(Main!M$1,값!$2:$2,0),0)="",NA(),VLOOKUP($A77,값!$A:$W,MATCH(Main!M$1,값!$2:$2,0),0))</f>
        <v>1.46E-2</v>
      </c>
      <c r="N77" s="12">
        <f>IF(VLOOKUP($A77,값!$A:$W,MATCH(Main!N$1,값!$2:$2,0),0)="",NA(),VLOOKUP($A77,값!$A:$W,MATCH(Main!N$1,값!$2:$2,0),0))</f>
        <v>5.4429999999999999E-3</v>
      </c>
      <c r="O77" s="12">
        <f>IF(VLOOKUP($A77,값!$A:$W,MATCH(Main!O$1,값!$2:$2,0),0)="",NA(),VLOOKUP($A77,값!$A:$W,MATCH(Main!O$1,값!$2:$2,0),0))</f>
        <v>2.2397E-2</v>
      </c>
      <c r="P77" s="12">
        <f>IF(VLOOKUP($A77,값!$A:$W,MATCH(Main!P$1,값!$2:$2,0),0)="",NA(),VLOOKUP($A77,값!$A:$W,MATCH(Main!P$1,값!$2:$2,0),0))</f>
        <v>2.48647E-2</v>
      </c>
      <c r="Q77" s="12">
        <f>IF(VLOOKUP($A77,값!$A:$W,MATCH(Main!Q$1,값!$2:$2,0),0)="",NA(),VLOOKUP($A77,값!$A:$W,MATCH(Main!Q$1,값!$2:$2,0),0))</f>
        <v>-5.4563590625239522E-2</v>
      </c>
      <c r="R77" s="12">
        <f>IF(VLOOKUP($A77,값!$A:$W,MATCH(Main!R$1,값!$2:$2,0),0)="",NA(),VLOOKUP($A77,값!$A:$W,MATCH(Main!R$1,값!$2:$2,0),0))</f>
        <v>9.4000000000000004E-3</v>
      </c>
      <c r="S77" s="12">
        <f>IF(VLOOKUP($A77,값!$A:$W,MATCH(Main!S$1,값!$2:$2,0),0)="",NA(),VLOOKUP($A77,값!$A:$W,MATCH(Main!S$1,값!$2:$2,0),0))</f>
        <v>9.4000000000000004E-3</v>
      </c>
      <c r="T77" s="12">
        <f>IF(VLOOKUP($A77,값!$A:$W,MATCH(Main!T$1,값!$2:$2,0),0)="",NA(),VLOOKUP($A77,값!$A:$W,MATCH(Main!T$1,값!$2:$2,0),0))</f>
        <v>9.4000000000000004E-3</v>
      </c>
      <c r="U77" s="12">
        <f>IF(VLOOKUP($A77,값!$A:$W,MATCH(Main!U$1,값!$2:$2,0),0)="",NA(),VLOOKUP($A77,값!$A:$W,MATCH(Main!U$1,값!$2:$2,0),0))</f>
        <v>9.4000000000000004E-3</v>
      </c>
      <c r="V77" s="12">
        <f>IF(VLOOKUP($A77,값!$A:$W,MATCH(Main!V$1,값!$2:$2,0),0)="",NA(),VLOOKUP($A77,값!$A:$W,MATCH(Main!V$1,값!$2:$2,0),0))</f>
        <v>-7.3766397544665629E-3</v>
      </c>
    </row>
    <row r="78" spans="1:22" x14ac:dyDescent="0.2">
      <c r="A78" s="1">
        <v>43555</v>
      </c>
      <c r="B78" s="12">
        <f>IF(VLOOKUP($A78,값!$A:$W,MATCH(Main!B$1,값!$2:$2,0),0)="",NA(),VLOOKUP($A78,값!$A:$W,MATCH(Main!B$1,값!$2:$2,0),0))</f>
        <v>4.5699999999999998E-2</v>
      </c>
      <c r="C78" s="12">
        <f>IF(VLOOKUP($A78,값!$A:$W,MATCH(Main!C$1,값!$2:$2,0),0)="",NA(),VLOOKUP($A78,값!$A:$W,MATCH(Main!C$1,값!$2:$2,0),0))</f>
        <v>6.9699999999999998E-2</v>
      </c>
      <c r="D78" s="12">
        <f>IF(VLOOKUP($A78,값!$A:$W,MATCH(Main!D$1,값!$2:$2,0),0)="",NA(),VLOOKUP($A78,값!$A:$W,MATCH(Main!D$1,값!$2:$2,0),0))</f>
        <v>6.9699999999999998E-2</v>
      </c>
      <c r="E78" s="12">
        <f>IF(VLOOKUP($A78,값!$A:$W,MATCH(Main!E$1,값!$2:$2,0),0)="",NA(),VLOOKUP($A78,값!$A:$W,MATCH(Main!E$1,값!$2:$2,0),0))</f>
        <v>1.9400000000000001E-2</v>
      </c>
      <c r="F78" s="12">
        <f>IF(VLOOKUP($A78,값!$A:$W,MATCH(Main!F$1,값!$2:$2,0),0)="",NA(),VLOOKUP($A78,값!$A:$W,MATCH(Main!F$1,값!$2:$2,0),0))</f>
        <v>3.4500000000000003E-2</v>
      </c>
      <c r="G78" s="12">
        <f>IF(VLOOKUP($A78,값!$A:$W,MATCH(Main!G$1,값!$2:$2,0),0)="",NA(),VLOOKUP($A78,값!$A:$W,MATCH(Main!G$1,값!$2:$2,0),0))</f>
        <v>1.9400000000000001E-2</v>
      </c>
      <c r="H78" s="12">
        <f>IF(VLOOKUP($A78,값!$A:$W,MATCH(Main!H$1,값!$2:$2,0),0)="",NA(),VLOOKUP($A78,값!$A:$W,MATCH(Main!H$1,값!$2:$2,0),0))</f>
        <v>1.83E-2</v>
      </c>
      <c r="I78" s="12">
        <f>IF(VLOOKUP($A78,값!$A:$W,MATCH(Main!I$1,값!$2:$2,0),0)="",NA(),VLOOKUP($A78,값!$A:$W,MATCH(Main!I$1,값!$2:$2,0),0))</f>
        <v>2.52E-2</v>
      </c>
      <c r="J78" s="12">
        <f>IF(VLOOKUP($A78,값!$A:$W,MATCH(Main!J$1,값!$2:$2,0),0)="",NA(),VLOOKUP($A78,값!$A:$W,MATCH(Main!J$1,값!$2:$2,0),0))</f>
        <v>4.9700000000000001E-2</v>
      </c>
      <c r="K78" s="12">
        <f>IF(VLOOKUP($A78,값!$A:$W,MATCH(Main!K$1,값!$2:$2,0),0)="",NA(),VLOOKUP($A78,값!$A:$W,MATCH(Main!K$1,값!$2:$2,0),0))</f>
        <v>3.1378205571575446E-2</v>
      </c>
      <c r="L78" s="12">
        <f>IF(VLOOKUP($A78,값!$A:$W,MATCH(Main!L$1,값!$2:$2,0),0)="",NA(),VLOOKUP($A78,값!$A:$W,MATCH(Main!L$1,값!$2:$2,0),0))</f>
        <v>1.7624999999999998E-2</v>
      </c>
      <c r="M78" s="12">
        <f>IF(VLOOKUP($A78,값!$A:$W,MATCH(Main!M$1,값!$2:$2,0),0)="",NA(),VLOOKUP($A78,값!$A:$W,MATCH(Main!M$1,값!$2:$2,0),0))</f>
        <v>1.7600000000000001E-2</v>
      </c>
      <c r="N78" s="12">
        <f>IF(VLOOKUP($A78,값!$A:$W,MATCH(Main!N$1,값!$2:$2,0),0)="",NA(),VLOOKUP($A78,값!$A:$W,MATCH(Main!N$1,값!$2:$2,0),0))</f>
        <v>1.7624999999999998E-2</v>
      </c>
      <c r="O78" s="12">
        <f>IF(VLOOKUP($A78,값!$A:$W,MATCH(Main!O$1,값!$2:$2,0),0)="",NA(),VLOOKUP($A78,값!$A:$W,MATCH(Main!O$1,값!$2:$2,0),0))</f>
        <v>2.7373999999999999E-2</v>
      </c>
      <c r="P78" s="12">
        <f>IF(VLOOKUP($A78,값!$A:$W,MATCH(Main!P$1,값!$2:$2,0),0)="",NA(),VLOOKUP($A78,값!$A:$W,MATCH(Main!P$1,값!$2:$2,0),0))</f>
        <v>1.7826399999999999E-2</v>
      </c>
      <c r="Q78" s="12">
        <f>IF(VLOOKUP($A78,값!$A:$W,MATCH(Main!Q$1,값!$2:$2,0),0)="",NA(),VLOOKUP($A78,값!$A:$W,MATCH(Main!Q$1,값!$2:$2,0),0))</f>
        <v>0.1485803551460203</v>
      </c>
      <c r="R78" s="12">
        <f>IF(VLOOKUP($A78,값!$A:$W,MATCH(Main!R$1,값!$2:$2,0),0)="",NA(),VLOOKUP($A78,값!$A:$W,MATCH(Main!R$1,값!$2:$2,0),0))</f>
        <v>2.5399999999999999E-2</v>
      </c>
      <c r="S78" s="12">
        <f>IF(VLOOKUP($A78,값!$A:$W,MATCH(Main!S$1,값!$2:$2,0),0)="",NA(),VLOOKUP($A78,값!$A:$W,MATCH(Main!S$1,값!$2:$2,0),0))</f>
        <v>2.5399999999999999E-2</v>
      </c>
      <c r="T78" s="12">
        <f>IF(VLOOKUP($A78,값!$A:$W,MATCH(Main!T$1,값!$2:$2,0),0)="",NA(),VLOOKUP($A78,값!$A:$W,MATCH(Main!T$1,값!$2:$2,0),0))</f>
        <v>2.5399999999999999E-2</v>
      </c>
      <c r="U78" s="12">
        <f>IF(VLOOKUP($A78,값!$A:$W,MATCH(Main!U$1,값!$2:$2,0),0)="",NA(),VLOOKUP($A78,값!$A:$W,MATCH(Main!U$1,값!$2:$2,0),0))</f>
        <v>2.5399999999999999E-2</v>
      </c>
      <c r="V78" s="12">
        <f>IF(VLOOKUP($A78,값!$A:$W,MATCH(Main!V$1,값!$2:$2,0),0)="",NA(),VLOOKUP($A78,값!$A:$W,MATCH(Main!V$1,값!$2:$2,0),0))</f>
        <v>5.7717536954798421E-2</v>
      </c>
    </row>
    <row r="79" spans="1:22" x14ac:dyDescent="0.2">
      <c r="A79" s="1">
        <v>43646</v>
      </c>
      <c r="B79" s="12">
        <f>IF(VLOOKUP($A79,값!$A:$W,MATCH(Main!B$1,값!$2:$2,0),0)="",NA(),VLOOKUP($A79,값!$A:$W,MATCH(Main!B$1,값!$2:$2,0),0))</f>
        <v>4.4499999999999998E-2</v>
      </c>
      <c r="C79" s="12">
        <f>IF(VLOOKUP($A79,값!$A:$W,MATCH(Main!C$1,값!$2:$2,0),0)="",NA(),VLOOKUP($A79,값!$A:$W,MATCH(Main!C$1,값!$2:$2,0),0))</f>
        <v>8.7599999999999997E-2</v>
      </c>
      <c r="D79" s="12">
        <f>IF(VLOOKUP($A79,값!$A:$W,MATCH(Main!D$1,값!$2:$2,0),0)="",NA(),VLOOKUP($A79,값!$A:$W,MATCH(Main!D$1,값!$2:$2,0),0))</f>
        <v>8.7599999999999997E-2</v>
      </c>
      <c r="E79" s="12">
        <f>IF(VLOOKUP($A79,값!$A:$W,MATCH(Main!E$1,값!$2:$2,0),0)="",NA(),VLOOKUP($A79,값!$A:$W,MATCH(Main!E$1,값!$2:$2,0),0))</f>
        <v>4.1599999999999998E-2</v>
      </c>
      <c r="F79" s="12">
        <f>IF(VLOOKUP($A79,값!$A:$W,MATCH(Main!F$1,값!$2:$2,0),0)="",NA(),VLOOKUP($A79,값!$A:$W,MATCH(Main!F$1,값!$2:$2,0),0))</f>
        <v>2.87E-2</v>
      </c>
      <c r="G79" s="12">
        <f>IF(VLOOKUP($A79,값!$A:$W,MATCH(Main!G$1,값!$2:$2,0),0)="",NA(),VLOOKUP($A79,값!$A:$W,MATCH(Main!G$1,값!$2:$2,0),0))</f>
        <v>4.1599999999999998E-2</v>
      </c>
      <c r="H79" s="12">
        <f>IF(VLOOKUP($A79,값!$A:$W,MATCH(Main!H$1,값!$2:$2,0),0)="",NA(),VLOOKUP($A79,값!$A:$W,MATCH(Main!H$1,값!$2:$2,0),0))</f>
        <v>2.3099999999999999E-2</v>
      </c>
      <c r="I79" s="12">
        <f>IF(VLOOKUP($A79,값!$A:$W,MATCH(Main!I$1,값!$2:$2,0),0)="",NA(),VLOOKUP($A79,값!$A:$W,MATCH(Main!I$1,값!$2:$2,0),0))</f>
        <v>1.3599999999999999E-2</v>
      </c>
      <c r="J79" s="12">
        <f>IF(VLOOKUP($A79,값!$A:$W,MATCH(Main!J$1,값!$2:$2,0),0)="",NA(),VLOOKUP($A79,값!$A:$W,MATCH(Main!J$1,값!$2:$2,0),0))</f>
        <v>1.6799999999999999E-2</v>
      </c>
      <c r="K79" s="12">
        <f>IF(VLOOKUP($A79,값!$A:$W,MATCH(Main!K$1,값!$2:$2,0),0)="",NA(),VLOOKUP($A79,값!$A:$W,MATCH(Main!K$1,값!$2:$2,0),0))</f>
        <v>1.4690330300256793E-2</v>
      </c>
      <c r="L79" s="12">
        <f>IF(VLOOKUP($A79,값!$A:$W,MATCH(Main!L$1,값!$2:$2,0),0)="",NA(),VLOOKUP($A79,값!$A:$W,MATCH(Main!L$1,값!$2:$2,0),0))</f>
        <v>7.8969999999999995E-3</v>
      </c>
      <c r="M79" s="12">
        <f>IF(VLOOKUP($A79,값!$A:$W,MATCH(Main!M$1,값!$2:$2,0),0)="",NA(),VLOOKUP($A79,값!$A:$W,MATCH(Main!M$1,값!$2:$2,0),0))</f>
        <v>2.3300000000000001E-2</v>
      </c>
      <c r="N79" s="12">
        <f>IF(VLOOKUP($A79,값!$A:$W,MATCH(Main!N$1,값!$2:$2,0),0)="",NA(),VLOOKUP($A79,값!$A:$W,MATCH(Main!N$1,값!$2:$2,0),0))</f>
        <v>7.8969999999999995E-3</v>
      </c>
      <c r="O79" s="12">
        <f>IF(VLOOKUP($A79,값!$A:$W,MATCH(Main!O$1,값!$2:$2,0),0)="",NA(),VLOOKUP($A79,값!$A:$W,MATCH(Main!O$1,값!$2:$2,0),0))</f>
        <v>3.1999E-2</v>
      </c>
      <c r="P79" s="12">
        <f>IF(VLOOKUP($A79,값!$A:$W,MATCH(Main!P$1,값!$2:$2,0),0)="",NA(),VLOOKUP($A79,값!$A:$W,MATCH(Main!P$1,값!$2:$2,0),0))</f>
        <v>2.1618800000000001E-2</v>
      </c>
      <c r="Q79" s="12">
        <f>IF(VLOOKUP($A79,값!$A:$W,MATCH(Main!Q$1,값!$2:$2,0),0)="",NA(),VLOOKUP($A79,값!$A:$W,MATCH(Main!Q$1,값!$2:$2,0),0))</f>
        <v>2.0217713995711595E-3</v>
      </c>
      <c r="R79" s="12">
        <f>IF(VLOOKUP($A79,값!$A:$W,MATCH(Main!R$1,값!$2:$2,0),0)="",NA(),VLOOKUP($A79,값!$A:$W,MATCH(Main!R$1,값!$2:$2,0),0))</f>
        <v>1.5299999999999999E-2</v>
      </c>
      <c r="S79" s="12">
        <f>IF(VLOOKUP($A79,값!$A:$W,MATCH(Main!S$1,값!$2:$2,0),0)="",NA(),VLOOKUP($A79,값!$A:$W,MATCH(Main!S$1,값!$2:$2,0),0))</f>
        <v>1.5299999999999999E-2</v>
      </c>
      <c r="T79" s="12">
        <f>IF(VLOOKUP($A79,값!$A:$W,MATCH(Main!T$1,값!$2:$2,0),0)="",NA(),VLOOKUP($A79,값!$A:$W,MATCH(Main!T$1,값!$2:$2,0),0))</f>
        <v>1.5299999999999999E-2</v>
      </c>
      <c r="U79" s="12">
        <f>IF(VLOOKUP($A79,값!$A:$W,MATCH(Main!U$1,값!$2:$2,0),0)="",NA(),VLOOKUP($A79,값!$A:$W,MATCH(Main!U$1,값!$2:$2,0),0))</f>
        <v>1.5299999999999999E-2</v>
      </c>
      <c r="V79" s="12">
        <f>IF(VLOOKUP($A79,값!$A:$W,MATCH(Main!V$1,값!$2:$2,0),0)="",NA(),VLOOKUP($A79,값!$A:$W,MATCH(Main!V$1,값!$2:$2,0),0))</f>
        <v>4.3716753114097395E-2</v>
      </c>
    </row>
    <row r="80" spans="1:22" x14ac:dyDescent="0.2">
      <c r="A80" s="1">
        <v>43738</v>
      </c>
      <c r="B80" s="12">
        <f>IF(VLOOKUP($A80,값!$A:$W,MATCH(Main!B$1,값!$2:$2,0),0)="",NA(),VLOOKUP($A80,값!$A:$W,MATCH(Main!B$1,값!$2:$2,0),0))</f>
        <v>1.67E-2</v>
      </c>
      <c r="C80" s="12">
        <f>IF(VLOOKUP($A80,값!$A:$W,MATCH(Main!C$1,값!$2:$2,0),0)="",NA(),VLOOKUP($A80,값!$A:$W,MATCH(Main!C$1,값!$2:$2,0),0))</f>
        <v>4.0000000000000002E-4</v>
      </c>
      <c r="D80" s="12">
        <f>IF(VLOOKUP($A80,값!$A:$W,MATCH(Main!D$1,값!$2:$2,0),0)="",NA(),VLOOKUP($A80,값!$A:$W,MATCH(Main!D$1,값!$2:$2,0),0))</f>
        <v>4.0000000000000002E-4</v>
      </c>
      <c r="E80" s="12">
        <f>IF(VLOOKUP($A80,값!$A:$W,MATCH(Main!E$1,값!$2:$2,0),0)="",NA(),VLOOKUP($A80,값!$A:$W,MATCH(Main!E$1,값!$2:$2,0),0))</f>
        <v>2.1700000000000001E-2</v>
      </c>
      <c r="F80" s="12">
        <f>IF(VLOOKUP($A80,값!$A:$W,MATCH(Main!F$1,값!$2:$2,0),0)="",NA(),VLOOKUP($A80,값!$A:$W,MATCH(Main!F$1,값!$2:$2,0),0))</f>
        <v>8.6999999999999994E-3</v>
      </c>
      <c r="G80" s="12">
        <f>IF(VLOOKUP($A80,값!$A:$W,MATCH(Main!G$1,값!$2:$2,0),0)="",NA(),VLOOKUP($A80,값!$A:$W,MATCH(Main!G$1,값!$2:$2,0),0))</f>
        <v>2.1700000000000001E-2</v>
      </c>
      <c r="H80" s="12">
        <f>IF(VLOOKUP($A80,값!$A:$W,MATCH(Main!H$1,값!$2:$2,0),0)="",NA(),VLOOKUP($A80,값!$A:$W,MATCH(Main!H$1,값!$2:$2,0),0))</f>
        <v>1.1599999999999999E-2</v>
      </c>
      <c r="I80" s="12">
        <f>IF(VLOOKUP($A80,값!$A:$W,MATCH(Main!I$1,값!$2:$2,0),0)="",NA(),VLOOKUP($A80,값!$A:$W,MATCH(Main!I$1,값!$2:$2,0),0))</f>
        <v>-1E-3</v>
      </c>
      <c r="J80" s="12">
        <f>IF(VLOOKUP($A80,값!$A:$W,MATCH(Main!J$1,값!$2:$2,0),0)="",NA(),VLOOKUP($A80,값!$A:$W,MATCH(Main!J$1,값!$2:$2,0),0))</f>
        <v>1.2E-2</v>
      </c>
      <c r="K80" s="12">
        <f>IF(VLOOKUP($A80,값!$A:$W,MATCH(Main!K$1,값!$2:$2,0),0)="",NA(),VLOOKUP($A80,값!$A:$W,MATCH(Main!K$1,값!$2:$2,0),0))</f>
        <v>-5.0329001060467338E-4</v>
      </c>
      <c r="L80" s="12">
        <f>IF(VLOOKUP($A80,값!$A:$W,MATCH(Main!L$1,값!$2:$2,0),0)="",NA(),VLOOKUP($A80,값!$A:$W,MATCH(Main!L$1,값!$2:$2,0),0))</f>
        <v>-2.66E-3</v>
      </c>
      <c r="M80" s="12">
        <f>IF(VLOOKUP($A80,값!$A:$W,MATCH(Main!M$1,값!$2:$2,0),0)="",NA(),VLOOKUP($A80,값!$A:$W,MATCH(Main!M$1,값!$2:$2,0),0))</f>
        <v>1.7500000000000002E-2</v>
      </c>
      <c r="N80" s="12">
        <f>IF(VLOOKUP($A80,값!$A:$W,MATCH(Main!N$1,값!$2:$2,0),0)="",NA(),VLOOKUP($A80,값!$A:$W,MATCH(Main!N$1,값!$2:$2,0),0))</f>
        <v>-2.66E-3</v>
      </c>
      <c r="O80" s="12">
        <f>IF(VLOOKUP($A80,값!$A:$W,MATCH(Main!O$1,값!$2:$2,0),0)="",NA(),VLOOKUP($A80,값!$A:$W,MATCH(Main!O$1,값!$2:$2,0),0))</f>
        <v>2.3157000000000001E-2</v>
      </c>
      <c r="P80" s="12">
        <f>IF(VLOOKUP($A80,값!$A:$W,MATCH(Main!P$1,값!$2:$2,0),0)="",NA(),VLOOKUP($A80,값!$A:$W,MATCH(Main!P$1,값!$2:$2,0),0))</f>
        <v>2.1453300000000002E-2</v>
      </c>
      <c r="Q80" s="12">
        <f>IF(VLOOKUP($A80,값!$A:$W,MATCH(Main!Q$1,값!$2:$2,0),0)="",NA(),VLOOKUP($A80,값!$A:$W,MATCH(Main!Q$1,값!$2:$2,0),0))</f>
        <v>4.8668336030725623E-2</v>
      </c>
      <c r="R80" s="12">
        <f>IF(VLOOKUP($A80,값!$A:$W,MATCH(Main!R$1,값!$2:$2,0),0)="",NA(),VLOOKUP($A80,값!$A:$W,MATCH(Main!R$1,값!$2:$2,0),0))</f>
        <v>-1.83E-2</v>
      </c>
      <c r="S80" s="12">
        <f>IF(VLOOKUP($A80,값!$A:$W,MATCH(Main!S$1,값!$2:$2,0),0)="",NA(),VLOOKUP($A80,값!$A:$W,MATCH(Main!S$1,값!$2:$2,0),0))</f>
        <v>-1.83E-2</v>
      </c>
      <c r="T80" s="12">
        <f>IF(VLOOKUP($A80,값!$A:$W,MATCH(Main!T$1,값!$2:$2,0),0)="",NA(),VLOOKUP($A80,값!$A:$W,MATCH(Main!T$1,값!$2:$2,0),0))</f>
        <v>-1.83E-2</v>
      </c>
      <c r="U80" s="12">
        <f>IF(VLOOKUP($A80,값!$A:$W,MATCH(Main!U$1,값!$2:$2,0),0)="",NA(),VLOOKUP($A80,값!$A:$W,MATCH(Main!U$1,값!$2:$2,0),0))</f>
        <v>-1.83E-2</v>
      </c>
      <c r="V80" s="12">
        <f>IF(VLOOKUP($A80,값!$A:$W,MATCH(Main!V$1,값!$2:$2,0),0)="",NA(),VLOOKUP($A80,값!$A:$W,MATCH(Main!V$1,값!$2:$2,0),0))</f>
        <v>3.4445126801996739E-2</v>
      </c>
    </row>
    <row r="81" spans="1:22" x14ac:dyDescent="0.2">
      <c r="A81" s="1">
        <v>43830</v>
      </c>
      <c r="B81" s="12">
        <f>IF(VLOOKUP($A81,값!$A:$W,MATCH(Main!B$1,값!$2:$2,0),0)="",NA(),VLOOKUP($A81,값!$A:$W,MATCH(Main!B$1,값!$2:$2,0),0))</f>
        <v>5.7599999999999998E-2</v>
      </c>
      <c r="C81" s="12">
        <f>IF(VLOOKUP($A81,값!$A:$W,MATCH(Main!C$1,값!$2:$2,0),0)="",NA(),VLOOKUP($A81,값!$A:$W,MATCH(Main!C$1,값!$2:$2,0),0))</f>
        <v>5.9200000000000003E-2</v>
      </c>
      <c r="D81" s="12">
        <f>IF(VLOOKUP($A81,값!$A:$W,MATCH(Main!D$1,값!$2:$2,0),0)="",NA(),VLOOKUP($A81,값!$A:$W,MATCH(Main!D$1,값!$2:$2,0),0))</f>
        <v>5.9200000000000003E-2</v>
      </c>
      <c r="E81" s="12">
        <f>IF(VLOOKUP($A81,값!$A:$W,MATCH(Main!E$1,값!$2:$2,0),0)="",NA(),VLOOKUP($A81,값!$A:$W,MATCH(Main!E$1,값!$2:$2,0),0))</f>
        <v>5.7000000000000002E-2</v>
      </c>
      <c r="F81" s="12">
        <f>IF(VLOOKUP($A81,값!$A:$W,MATCH(Main!F$1,값!$2:$2,0),0)="",NA(),VLOOKUP($A81,값!$A:$W,MATCH(Main!F$1,값!$2:$2,0),0))</f>
        <v>4.1300000000000003E-2</v>
      </c>
      <c r="G81" s="12">
        <f>IF(VLOOKUP($A81,값!$A:$W,MATCH(Main!G$1,값!$2:$2,0),0)="",NA(),VLOOKUP($A81,값!$A:$W,MATCH(Main!G$1,값!$2:$2,0),0))</f>
        <v>5.7000000000000002E-2</v>
      </c>
      <c r="H81" s="12">
        <f>IF(VLOOKUP($A81,값!$A:$W,MATCH(Main!H$1,값!$2:$2,0),0)="",NA(),VLOOKUP($A81,값!$A:$W,MATCH(Main!H$1,값!$2:$2,0),0))</f>
        <v>1.8499999999999999E-2</v>
      </c>
      <c r="I81" s="12">
        <f>IF(VLOOKUP($A81,값!$A:$W,MATCH(Main!I$1,값!$2:$2,0),0)="",NA(),VLOOKUP($A81,값!$A:$W,MATCH(Main!I$1,값!$2:$2,0),0))</f>
        <v>3.8399999999999997E-2</v>
      </c>
      <c r="J81" s="12">
        <f>IF(VLOOKUP($A81,값!$A:$W,MATCH(Main!J$1,값!$2:$2,0),0)="",NA(),VLOOKUP($A81,값!$A:$W,MATCH(Main!J$1,값!$2:$2,0),0))</f>
        <v>4.1399999999999999E-2</v>
      </c>
      <c r="K81" s="12">
        <f>IF(VLOOKUP($A81,값!$A:$W,MATCH(Main!K$1,값!$2:$2,0),0)="",NA(),VLOOKUP($A81,값!$A:$W,MATCH(Main!K$1,값!$2:$2,0),0))</f>
        <v>1.6262469362597898E-2</v>
      </c>
      <c r="L81" s="12">
        <f>IF(VLOOKUP($A81,값!$A:$W,MATCH(Main!L$1,값!$2:$2,0),0)="",NA(),VLOOKUP($A81,값!$A:$W,MATCH(Main!L$1,값!$2:$2,0),0))</f>
        <v>3.6252E-2</v>
      </c>
      <c r="M81" s="12">
        <f>IF(VLOOKUP($A81,값!$A:$W,MATCH(Main!M$1,값!$2:$2,0),0)="",NA(),VLOOKUP($A81,값!$A:$W,MATCH(Main!M$1,값!$2:$2,0),0))</f>
        <v>3.5499999999999997E-2</v>
      </c>
      <c r="N81" s="12">
        <f>IF(VLOOKUP($A81,값!$A:$W,MATCH(Main!N$1,값!$2:$2,0),0)="",NA(),VLOOKUP($A81,값!$A:$W,MATCH(Main!N$1,값!$2:$2,0),0))</f>
        <v>3.6252E-2</v>
      </c>
      <c r="O81" s="12">
        <f>IF(VLOOKUP($A81,값!$A:$W,MATCH(Main!O$1,값!$2:$2,0),0)="",NA(),VLOOKUP($A81,값!$A:$W,MATCH(Main!O$1,값!$2:$2,0),0))</f>
        <v>-8.2799999999999996E-4</v>
      </c>
      <c r="P81" s="12">
        <f>IF(VLOOKUP($A81,값!$A:$W,MATCH(Main!P$1,값!$2:$2,0),0)="",NA(),VLOOKUP($A81,값!$A:$W,MATCH(Main!P$1,값!$2:$2,0),0))</f>
        <v>1.85915E-2</v>
      </c>
      <c r="Q81" s="12">
        <f>IF(VLOOKUP($A81,값!$A:$W,MATCH(Main!Q$1,값!$2:$2,0),0)="",NA(),VLOOKUP($A81,값!$A:$W,MATCH(Main!Q$1,값!$2:$2,0),0))</f>
        <v>1.9641659112898058E-2</v>
      </c>
      <c r="R81" s="12">
        <f>IF(VLOOKUP($A81,값!$A:$W,MATCH(Main!R$1,값!$2:$2,0),0)="",NA(),VLOOKUP($A81,값!$A:$W,MATCH(Main!R$1,값!$2:$2,0),0))</f>
        <v>4.6199999999999998E-2</v>
      </c>
      <c r="S81" s="12">
        <f>IF(VLOOKUP($A81,값!$A:$W,MATCH(Main!S$1,값!$2:$2,0),0)="",NA(),VLOOKUP($A81,값!$A:$W,MATCH(Main!S$1,값!$2:$2,0),0))</f>
        <v>4.6199999999999998E-2</v>
      </c>
      <c r="T81" s="12">
        <f>IF(VLOOKUP($A81,값!$A:$W,MATCH(Main!T$1,값!$2:$2,0),0)="",NA(),VLOOKUP($A81,값!$A:$W,MATCH(Main!T$1,값!$2:$2,0),0))</f>
        <v>4.6199999999999998E-2</v>
      </c>
      <c r="U81" s="12">
        <f>IF(VLOOKUP($A81,값!$A:$W,MATCH(Main!U$1,값!$2:$2,0),0)="",NA(),VLOOKUP($A81,값!$A:$W,MATCH(Main!U$1,값!$2:$2,0),0))</f>
        <v>4.6199999999999998E-2</v>
      </c>
      <c r="V81" s="12">
        <f>IF(VLOOKUP($A81,값!$A:$W,MATCH(Main!V$1,값!$2:$2,0),0)="",NA(),VLOOKUP($A81,값!$A:$W,MATCH(Main!V$1,값!$2:$2,0),0))</f>
        <v>7.3106069702644216E-3</v>
      </c>
    </row>
    <row r="82" spans="1:22" x14ac:dyDescent="0.2">
      <c r="A82" s="1">
        <v>43921</v>
      </c>
      <c r="B82" s="12">
        <f>IF(VLOOKUP($A82,값!$A:$W,MATCH(Main!B$1,값!$2:$2,0),0)="",NA(),VLOOKUP($A82,값!$A:$W,MATCH(Main!B$1,값!$2:$2,0),0))</f>
        <v>-0.10050000000000001</v>
      </c>
      <c r="C82" s="12">
        <f>IF(VLOOKUP($A82,값!$A:$W,MATCH(Main!C$1,값!$2:$2,0),0)="",NA(),VLOOKUP($A82,값!$A:$W,MATCH(Main!C$1,값!$2:$2,0),0))</f>
        <v>-3.85E-2</v>
      </c>
      <c r="D82" s="12">
        <f>IF(VLOOKUP($A82,값!$A:$W,MATCH(Main!D$1,값!$2:$2,0),0)="",NA(),VLOOKUP($A82,값!$A:$W,MATCH(Main!D$1,값!$2:$2,0),0))</f>
        <v>-3.85E-2</v>
      </c>
      <c r="E82" s="12">
        <f>IF(VLOOKUP($A82,값!$A:$W,MATCH(Main!E$1,값!$2:$2,0),0)="",NA(),VLOOKUP($A82,값!$A:$W,MATCH(Main!E$1,값!$2:$2,0),0))</f>
        <v>-6.3100000000000003E-2</v>
      </c>
      <c r="F82" s="12">
        <f>IF(VLOOKUP($A82,값!$A:$W,MATCH(Main!F$1,값!$2:$2,0),0)="",NA(),VLOOKUP($A82,값!$A:$W,MATCH(Main!F$1,값!$2:$2,0),0))</f>
        <v>-4.7300000000000002E-2</v>
      </c>
      <c r="G82" s="12">
        <f>IF(VLOOKUP($A82,값!$A:$W,MATCH(Main!G$1,값!$2:$2,0),0)="",NA(),VLOOKUP($A82,값!$A:$W,MATCH(Main!G$1,값!$2:$2,0),0))</f>
        <v>-6.3100000000000003E-2</v>
      </c>
      <c r="H82" s="12">
        <f>IF(VLOOKUP($A82,값!$A:$W,MATCH(Main!H$1,값!$2:$2,0),0)="",NA(),VLOOKUP($A82,값!$A:$W,MATCH(Main!H$1,값!$2:$2,0),0))</f>
        <v>-4.1099999999999998E-2</v>
      </c>
      <c r="I82" s="12">
        <f>IF(VLOOKUP($A82,값!$A:$W,MATCH(Main!I$1,값!$2:$2,0),0)="",NA(),VLOOKUP($A82,값!$A:$W,MATCH(Main!I$1,값!$2:$2,0),0))</f>
        <v>-0.1454</v>
      </c>
      <c r="J82" s="12">
        <f>IF(VLOOKUP($A82,값!$A:$W,MATCH(Main!J$1,값!$2:$2,0),0)="",NA(),VLOOKUP($A82,값!$A:$W,MATCH(Main!J$1,값!$2:$2,0),0))</f>
        <v>-5.8999999999999997E-2</v>
      </c>
      <c r="K82" s="12">
        <f>IF(VLOOKUP($A82,값!$A:$W,MATCH(Main!K$1,값!$2:$2,0),0)="",NA(),VLOOKUP($A82,값!$A:$W,MATCH(Main!K$1,값!$2:$2,0),0))</f>
        <v>-7.1926845580418286E-2</v>
      </c>
      <c r="L82" s="12">
        <f>IF(VLOOKUP($A82,값!$A:$W,MATCH(Main!L$1,값!$2:$2,0),0)="",NA(),VLOOKUP($A82,값!$A:$W,MATCH(Main!L$1,값!$2:$2,0),0))</f>
        <v>-3.3071000000000003E-2</v>
      </c>
      <c r="M82" s="12">
        <f>IF(VLOOKUP($A82,값!$A:$W,MATCH(Main!M$1,값!$2:$2,0),0)="",NA(),VLOOKUP($A82,값!$A:$W,MATCH(Main!M$1,값!$2:$2,0),0))</f>
        <v>-5.28E-2</v>
      </c>
      <c r="N82" s="12">
        <f>IF(VLOOKUP($A82,값!$A:$W,MATCH(Main!N$1,값!$2:$2,0),0)="",NA(),VLOOKUP($A82,값!$A:$W,MATCH(Main!N$1,값!$2:$2,0),0))</f>
        <v>-3.3071000000000003E-2</v>
      </c>
      <c r="O82" s="12">
        <f>IF(VLOOKUP($A82,값!$A:$W,MATCH(Main!O$1,값!$2:$2,0),0)="",NA(),VLOOKUP($A82,값!$A:$W,MATCH(Main!O$1,값!$2:$2,0),0))</f>
        <v>-9.2479999999999993E-3</v>
      </c>
      <c r="P82" s="12">
        <f>IF(VLOOKUP($A82,값!$A:$W,MATCH(Main!P$1,값!$2:$2,0),0)="",NA(),VLOOKUP($A82,값!$A:$W,MATCH(Main!P$1,값!$2:$2,0),0))</f>
        <v>6.2294000000000004E-3</v>
      </c>
      <c r="Q82" s="12">
        <f>IF(VLOOKUP($A82,값!$A:$W,MATCH(Main!Q$1,값!$2:$2,0),0)="",NA(),VLOOKUP($A82,값!$A:$W,MATCH(Main!Q$1,값!$2:$2,0),0))</f>
        <v>-0.28335230531868139</v>
      </c>
      <c r="R82" s="12">
        <f>IF(VLOOKUP($A82,값!$A:$W,MATCH(Main!R$1,값!$2:$2,0),0)="",NA(),VLOOKUP($A82,값!$A:$W,MATCH(Main!R$1,값!$2:$2,0),0))</f>
        <v>-4.6300000000000001E-2</v>
      </c>
      <c r="S82" s="12">
        <f>IF(VLOOKUP($A82,값!$A:$W,MATCH(Main!S$1,값!$2:$2,0),0)="",NA(),VLOOKUP($A82,값!$A:$W,MATCH(Main!S$1,값!$2:$2,0),0))</f>
        <v>-4.6300000000000001E-2</v>
      </c>
      <c r="T82" s="12">
        <f>IF(VLOOKUP($A82,값!$A:$W,MATCH(Main!T$1,값!$2:$2,0),0)="",NA(),VLOOKUP($A82,값!$A:$W,MATCH(Main!T$1,값!$2:$2,0),0))</f>
        <v>-4.6300000000000001E-2</v>
      </c>
      <c r="U82" s="12">
        <f>IF(VLOOKUP($A82,값!$A:$W,MATCH(Main!U$1,값!$2:$2,0),0)="",NA(),VLOOKUP($A82,값!$A:$W,MATCH(Main!U$1,값!$2:$2,0),0))</f>
        <v>-4.6300000000000001E-2</v>
      </c>
      <c r="V82" s="12">
        <f>IF(VLOOKUP($A82,값!$A:$W,MATCH(Main!V$1,값!$2:$2,0),0)="",NA(),VLOOKUP($A82,값!$A:$W,MATCH(Main!V$1,값!$2:$2,0),0))</f>
        <v>-7.3832956594972687E-2</v>
      </c>
    </row>
    <row r="83" spans="1:22" x14ac:dyDescent="0.2">
      <c r="A83" s="1">
        <v>44012</v>
      </c>
      <c r="B83" s="12">
        <f>IF(VLOOKUP($A83,값!$A:$W,MATCH(Main!B$1,값!$2:$2,0),0)="",NA(),VLOOKUP($A83,값!$A:$W,MATCH(Main!B$1,값!$2:$2,0),0))</f>
        <v>9.8000000000000004E-2</v>
      </c>
      <c r="C83" s="12">
        <f>IF(VLOOKUP($A83,값!$A:$W,MATCH(Main!C$1,값!$2:$2,0),0)="",NA(),VLOOKUP($A83,값!$A:$W,MATCH(Main!C$1,값!$2:$2,0),0))</f>
        <v>0.11890000000000001</v>
      </c>
      <c r="D83" s="12">
        <f>IF(VLOOKUP($A83,값!$A:$W,MATCH(Main!D$1,값!$2:$2,0),0)="",NA(),VLOOKUP($A83,값!$A:$W,MATCH(Main!D$1,값!$2:$2,0),0))</f>
        <v>0.11890000000000001</v>
      </c>
      <c r="E83" s="12">
        <f>IF(VLOOKUP($A83,값!$A:$W,MATCH(Main!E$1,값!$2:$2,0),0)="",NA(),VLOOKUP($A83,값!$A:$W,MATCH(Main!E$1,값!$2:$2,0),0))</f>
        <v>-4.4999999999999997E-3</v>
      </c>
      <c r="F83" s="12">
        <f>IF(VLOOKUP($A83,값!$A:$W,MATCH(Main!F$1,값!$2:$2,0),0)="",NA(),VLOOKUP($A83,값!$A:$W,MATCH(Main!F$1,값!$2:$2,0),0))</f>
        <v>0.08</v>
      </c>
      <c r="G83" s="12">
        <f>IF(VLOOKUP($A83,값!$A:$W,MATCH(Main!G$1,값!$2:$2,0),0)="",NA(),VLOOKUP($A83,값!$A:$W,MATCH(Main!G$1,값!$2:$2,0),0))</f>
        <v>-4.4999999999999997E-3</v>
      </c>
      <c r="H83" s="12">
        <f>IF(VLOOKUP($A83,값!$A:$W,MATCH(Main!H$1,값!$2:$2,0),0)="",NA(),VLOOKUP($A83,값!$A:$W,MATCH(Main!H$1,값!$2:$2,0),0))</f>
        <v>2.24E-2</v>
      </c>
      <c r="I83" s="12">
        <f>IF(VLOOKUP($A83,값!$A:$W,MATCH(Main!I$1,값!$2:$2,0),0)="",NA(),VLOOKUP($A83,값!$A:$W,MATCH(Main!I$1,값!$2:$2,0),0))</f>
        <v>8.8499999999999995E-2</v>
      </c>
      <c r="J83" s="12">
        <f>IF(VLOOKUP($A83,값!$A:$W,MATCH(Main!J$1,값!$2:$2,0),0)="",NA(),VLOOKUP($A83,값!$A:$W,MATCH(Main!J$1,값!$2:$2,0),0))</f>
        <v>0.1024</v>
      </c>
      <c r="K83" s="12">
        <f>IF(VLOOKUP($A83,값!$A:$W,MATCH(Main!K$1,값!$2:$2,0),0)="",NA(),VLOOKUP($A83,값!$A:$W,MATCH(Main!K$1,값!$2:$2,0),0))</f>
        <v>5.5680121963189277E-2</v>
      </c>
      <c r="L83" s="12">
        <f>IF(VLOOKUP($A83,값!$A:$W,MATCH(Main!L$1,값!$2:$2,0),0)="",NA(),VLOOKUP($A83,값!$A:$W,MATCH(Main!L$1,값!$2:$2,0),0))</f>
        <v>6.0300000000000002E-4</v>
      </c>
      <c r="M83" s="12">
        <f>IF(VLOOKUP($A83,값!$A:$W,MATCH(Main!M$1,값!$2:$2,0),0)="",NA(),VLOOKUP($A83,값!$A:$W,MATCH(Main!M$1,값!$2:$2,0),0))</f>
        <v>-3.3999999999999998E-3</v>
      </c>
      <c r="N83" s="12">
        <f>IF(VLOOKUP($A83,값!$A:$W,MATCH(Main!N$1,값!$2:$2,0),0)="",NA(),VLOOKUP($A83,값!$A:$W,MATCH(Main!N$1,값!$2:$2,0),0))</f>
        <v>6.0300000000000002E-4</v>
      </c>
      <c r="O83" s="12">
        <f>IF(VLOOKUP($A83,값!$A:$W,MATCH(Main!O$1,값!$2:$2,0),0)="",NA(),VLOOKUP($A83,값!$A:$W,MATCH(Main!O$1,값!$2:$2,0),0))</f>
        <v>4.2736000000000003E-2</v>
      </c>
      <c r="P83" s="12">
        <f>IF(VLOOKUP($A83,값!$A:$W,MATCH(Main!P$1,값!$2:$2,0),0)="",NA(),VLOOKUP($A83,값!$A:$W,MATCH(Main!P$1,값!$2:$2,0),0))</f>
        <v>1.48317E-2</v>
      </c>
      <c r="Q83" s="12">
        <f>IF(VLOOKUP($A83,값!$A:$W,MATCH(Main!Q$1,값!$2:$2,0),0)="",NA(),VLOOKUP($A83,값!$A:$W,MATCH(Main!Q$1,값!$2:$2,0),0))</f>
        <v>0.10329959547522516</v>
      </c>
      <c r="R83" s="12">
        <f>IF(VLOOKUP($A83,값!$A:$W,MATCH(Main!R$1,값!$2:$2,0),0)="",NA(),VLOOKUP($A83,값!$A:$W,MATCH(Main!R$1,값!$2:$2,0),0))</f>
        <v>3.5000000000000003E-2</v>
      </c>
      <c r="S83" s="12">
        <f>IF(VLOOKUP($A83,값!$A:$W,MATCH(Main!S$1,값!$2:$2,0),0)="",NA(),VLOOKUP($A83,값!$A:$W,MATCH(Main!S$1,값!$2:$2,0),0))</f>
        <v>3.5000000000000003E-2</v>
      </c>
      <c r="T83" s="12">
        <f>IF(VLOOKUP($A83,값!$A:$W,MATCH(Main!T$1,값!$2:$2,0),0)="",NA(),VLOOKUP($A83,값!$A:$W,MATCH(Main!T$1,값!$2:$2,0),0))</f>
        <v>3.5000000000000003E-2</v>
      </c>
      <c r="U83" s="12">
        <f>IF(VLOOKUP($A83,값!$A:$W,MATCH(Main!U$1,값!$2:$2,0),0)="",NA(),VLOOKUP($A83,값!$A:$W,MATCH(Main!U$1,값!$2:$2,0),0))</f>
        <v>3.5000000000000003E-2</v>
      </c>
      <c r="V83" s="12">
        <f>IF(VLOOKUP($A83,값!$A:$W,MATCH(Main!V$1,값!$2:$2,0),0)="",NA(),VLOOKUP($A83,값!$A:$W,MATCH(Main!V$1,값!$2:$2,0),0))</f>
        <v>0.13741932664500012</v>
      </c>
    </row>
    <row r="84" spans="1:22" x14ac:dyDescent="0.2">
      <c r="A84" s="1">
        <v>44104</v>
      </c>
      <c r="B84" s="12">
        <f>IF(VLOOKUP($A84,값!$A:$W,MATCH(Main!B$1,값!$2:$2,0),0)="",NA(),VLOOKUP($A84,값!$A:$W,MATCH(Main!B$1,값!$2:$2,0),0))</f>
        <v>0.1142</v>
      </c>
      <c r="C84" s="12">
        <f>IF(VLOOKUP($A84,값!$A:$W,MATCH(Main!C$1,값!$2:$2,0),0)="",NA(),VLOOKUP($A84,값!$A:$W,MATCH(Main!C$1,값!$2:$2,0),0))</f>
        <v>0.15090000000000001</v>
      </c>
      <c r="D84" s="12">
        <f>IF(VLOOKUP($A84,값!$A:$W,MATCH(Main!D$1,값!$2:$2,0),0)="",NA(),VLOOKUP($A84,값!$A:$W,MATCH(Main!D$1,값!$2:$2,0),0))</f>
        <v>0.15090000000000001</v>
      </c>
      <c r="E84" s="12">
        <f>IF(VLOOKUP($A84,값!$A:$W,MATCH(Main!E$1,값!$2:$2,0),0)="",NA(),VLOOKUP($A84,값!$A:$W,MATCH(Main!E$1,값!$2:$2,0),0))</f>
        <v>8.2199999999999995E-2</v>
      </c>
      <c r="F84" s="12">
        <f>IF(VLOOKUP($A84,값!$A:$W,MATCH(Main!F$1,값!$2:$2,0),0)="",NA(),VLOOKUP($A84,값!$A:$W,MATCH(Main!F$1,값!$2:$2,0),0))</f>
        <v>8.7800000000000003E-2</v>
      </c>
      <c r="G84" s="12">
        <f>IF(VLOOKUP($A84,값!$A:$W,MATCH(Main!G$1,값!$2:$2,0),0)="",NA(),VLOOKUP($A84,값!$A:$W,MATCH(Main!G$1,값!$2:$2,0),0))</f>
        <v>8.2199999999999995E-2</v>
      </c>
      <c r="H84" s="12">
        <f>IF(VLOOKUP($A84,값!$A:$W,MATCH(Main!H$1,값!$2:$2,0),0)="",NA(),VLOOKUP($A84,값!$A:$W,MATCH(Main!H$1,값!$2:$2,0),0))</f>
        <v>4.9500000000000002E-2</v>
      </c>
      <c r="I84" s="12">
        <f>IF(VLOOKUP($A84,값!$A:$W,MATCH(Main!I$1,값!$2:$2,0),0)="",NA(),VLOOKUP($A84,값!$A:$W,MATCH(Main!I$1,값!$2:$2,0),0))</f>
        <v>5.5399999999999998E-2</v>
      </c>
      <c r="J84" s="12">
        <f>IF(VLOOKUP($A84,값!$A:$W,MATCH(Main!J$1,값!$2:$2,0),0)="",NA(),VLOOKUP($A84,값!$A:$W,MATCH(Main!J$1,값!$2:$2,0),0))</f>
        <v>9.6699999999999994E-2</v>
      </c>
      <c r="K84" s="12">
        <f>IF(VLOOKUP($A84,값!$A:$W,MATCH(Main!K$1,값!$2:$2,0),0)="",NA(),VLOOKUP($A84,값!$A:$W,MATCH(Main!K$1,값!$2:$2,0),0))</f>
        <v>2.6719634218004051E-2</v>
      </c>
      <c r="L84" s="12">
        <f>IF(VLOOKUP($A84,값!$A:$W,MATCH(Main!L$1,값!$2:$2,0),0)="",NA(),VLOOKUP($A84,값!$A:$W,MATCH(Main!L$1,값!$2:$2,0),0))</f>
        <v>2.3018E-2</v>
      </c>
      <c r="M84" s="12">
        <f>IF(VLOOKUP($A84,값!$A:$W,MATCH(Main!M$1,값!$2:$2,0),0)="",NA(),VLOOKUP($A84,값!$A:$W,MATCH(Main!M$1,값!$2:$2,0),0))</f>
        <v>3.09E-2</v>
      </c>
      <c r="N84" s="12">
        <f>IF(VLOOKUP($A84,값!$A:$W,MATCH(Main!N$1,값!$2:$2,0),0)="",NA(),VLOOKUP($A84,값!$A:$W,MATCH(Main!N$1,값!$2:$2,0),0))</f>
        <v>2.3018E-2</v>
      </c>
      <c r="O84" s="12">
        <f>IF(VLOOKUP($A84,값!$A:$W,MATCH(Main!O$1,값!$2:$2,0),0)="",NA(),VLOOKUP($A84,값!$A:$W,MATCH(Main!O$1,값!$2:$2,0),0))</f>
        <v>1.7447000000000001E-2</v>
      </c>
      <c r="P84" s="12">
        <f>IF(VLOOKUP($A84,값!$A:$W,MATCH(Main!P$1,값!$2:$2,0),0)="",NA(),VLOOKUP($A84,값!$A:$W,MATCH(Main!P$1,값!$2:$2,0),0))</f>
        <v>1.5931500000000001E-2</v>
      </c>
      <c r="Q84" s="12">
        <f>IF(VLOOKUP($A84,값!$A:$W,MATCH(Main!Q$1,값!$2:$2,0),0)="",NA(),VLOOKUP($A84,값!$A:$W,MATCH(Main!Q$1,값!$2:$2,0),0))</f>
        <v>2.3257741668998522E-2</v>
      </c>
      <c r="R84" s="12">
        <f>IF(VLOOKUP($A84,값!$A:$W,MATCH(Main!R$1,값!$2:$2,0),0)="",NA(),VLOOKUP($A84,값!$A:$W,MATCH(Main!R$1,값!$2:$2,0),0))</f>
        <v>5.0900000000000001E-2</v>
      </c>
      <c r="S84" s="12">
        <f>IF(VLOOKUP($A84,값!$A:$W,MATCH(Main!S$1,값!$2:$2,0),0)="",NA(),VLOOKUP($A84,값!$A:$W,MATCH(Main!S$1,값!$2:$2,0),0))</f>
        <v>5.0900000000000001E-2</v>
      </c>
      <c r="T84" s="12">
        <f>IF(VLOOKUP($A84,값!$A:$W,MATCH(Main!T$1,값!$2:$2,0),0)="",NA(),VLOOKUP($A84,값!$A:$W,MATCH(Main!T$1,값!$2:$2,0),0))</f>
        <v>5.0900000000000001E-2</v>
      </c>
      <c r="U84" s="12">
        <f>IF(VLOOKUP($A84,값!$A:$W,MATCH(Main!U$1,값!$2:$2,0),0)="",NA(),VLOOKUP($A84,값!$A:$W,MATCH(Main!U$1,값!$2:$2,0),0))</f>
        <v>5.0900000000000001E-2</v>
      </c>
      <c r="V84" s="12">
        <f>IF(VLOOKUP($A84,값!$A:$W,MATCH(Main!V$1,값!$2:$2,0),0)="",NA(),VLOOKUP($A84,값!$A:$W,MATCH(Main!V$1,값!$2:$2,0),0))</f>
        <v>1.1319318788269195E-2</v>
      </c>
    </row>
    <row r="85" spans="1:22" x14ac:dyDescent="0.2">
      <c r="A85" s="1">
        <v>44196</v>
      </c>
      <c r="B85" s="12">
        <f>IF(VLOOKUP($A85,값!$A:$W,MATCH(Main!B$1,값!$2:$2,0),0)="",NA(),VLOOKUP($A85,값!$A:$W,MATCH(Main!B$1,값!$2:$2,0),0))</f>
        <v>0.1308</v>
      </c>
      <c r="C85" s="12">
        <f>IF(VLOOKUP($A85,값!$A:$W,MATCH(Main!C$1,값!$2:$2,0),0)="",NA(),VLOOKUP($A85,값!$A:$W,MATCH(Main!C$1,값!$2:$2,0),0))</f>
        <v>0.33289999999999997</v>
      </c>
      <c r="D85" s="12">
        <f>IF(VLOOKUP($A85,값!$A:$W,MATCH(Main!D$1,값!$2:$2,0),0)="",NA(),VLOOKUP($A85,값!$A:$W,MATCH(Main!D$1,값!$2:$2,0),0))</f>
        <v>0.33289999999999997</v>
      </c>
      <c r="E85" s="12">
        <f>IF(VLOOKUP($A85,값!$A:$W,MATCH(Main!E$1,값!$2:$2,0),0)="",NA(),VLOOKUP($A85,값!$A:$W,MATCH(Main!E$1,값!$2:$2,0),0))</f>
        <v>0.20810000000000001</v>
      </c>
      <c r="F85" s="12">
        <f>IF(VLOOKUP($A85,값!$A:$W,MATCH(Main!F$1,값!$2:$2,0),0)="",NA(),VLOOKUP($A85,값!$A:$W,MATCH(Main!F$1,값!$2:$2,0),0))</f>
        <v>0.18049999999999999</v>
      </c>
      <c r="G85" s="12">
        <f>IF(VLOOKUP($A85,값!$A:$W,MATCH(Main!G$1,값!$2:$2,0),0)="",NA(),VLOOKUP($A85,값!$A:$W,MATCH(Main!G$1,값!$2:$2,0),0))</f>
        <v>0.20810000000000001</v>
      </c>
      <c r="H85" s="12">
        <f>IF(VLOOKUP($A85,값!$A:$W,MATCH(Main!H$1,값!$2:$2,0),0)="",NA(),VLOOKUP($A85,값!$A:$W,MATCH(Main!H$1,값!$2:$2,0),0))</f>
        <v>5.1900000000000002E-2</v>
      </c>
      <c r="I85" s="12">
        <f>IF(VLOOKUP($A85,값!$A:$W,MATCH(Main!I$1,값!$2:$2,0),0)="",NA(),VLOOKUP($A85,값!$A:$W,MATCH(Main!I$1,값!$2:$2,0),0))</f>
        <v>7.5499999999999998E-2</v>
      </c>
      <c r="J85" s="12">
        <f>IF(VLOOKUP($A85,값!$A:$W,MATCH(Main!J$1,값!$2:$2,0),0)="",NA(),VLOOKUP($A85,값!$A:$W,MATCH(Main!J$1,값!$2:$2,0),0))</f>
        <v>0.17660000000000001</v>
      </c>
      <c r="K85" s="12">
        <f>IF(VLOOKUP($A85,값!$A:$W,MATCH(Main!K$1,값!$2:$2,0),0)="",NA(),VLOOKUP($A85,값!$A:$W,MATCH(Main!K$1,값!$2:$2,0),0))</f>
        <v>5.8387620809071006E-2</v>
      </c>
      <c r="L85" s="12">
        <f>IF(VLOOKUP($A85,값!$A:$W,MATCH(Main!L$1,값!$2:$2,0),0)="",NA(),VLOOKUP($A85,값!$A:$W,MATCH(Main!L$1,값!$2:$2,0),0))</f>
        <v>4.3459999999999999E-2</v>
      </c>
      <c r="M85" s="12">
        <f>IF(VLOOKUP($A85,값!$A:$W,MATCH(Main!M$1,값!$2:$2,0),0)="",NA(),VLOOKUP($A85,값!$A:$W,MATCH(Main!M$1,값!$2:$2,0),0))</f>
        <v>4.1599999999999998E-2</v>
      </c>
      <c r="N85" s="12">
        <f>IF(VLOOKUP($A85,값!$A:$W,MATCH(Main!N$1,값!$2:$2,0),0)="",NA(),VLOOKUP($A85,값!$A:$W,MATCH(Main!N$1,값!$2:$2,0),0))</f>
        <v>4.3459999999999999E-2</v>
      </c>
      <c r="O85" s="12">
        <f>IF(VLOOKUP($A85,값!$A:$W,MATCH(Main!O$1,값!$2:$2,0),0)="",NA(),VLOOKUP($A85,값!$A:$W,MATCH(Main!O$1,값!$2:$2,0),0))</f>
        <v>1.16279E-2</v>
      </c>
      <c r="P85" s="12">
        <f>IF(VLOOKUP($A85,값!$A:$W,MATCH(Main!P$1,값!$2:$2,0),0)="",NA(),VLOOKUP($A85,값!$A:$W,MATCH(Main!P$1,값!$2:$2,0),0))</f>
        <v>1.7310499999999999E-2</v>
      </c>
      <c r="Q85" s="12">
        <f>IF(VLOOKUP($A85,값!$A:$W,MATCH(Main!Q$1,값!$2:$2,0),0)="",NA(),VLOOKUP($A85,값!$A:$W,MATCH(Main!Q$1,값!$2:$2,0),0))</f>
        <v>0.13486409000104693</v>
      </c>
      <c r="R85" s="12">
        <f>IF(VLOOKUP($A85,값!$A:$W,MATCH(Main!R$1,값!$2:$2,0),0)="",NA(),VLOOKUP($A85,값!$A:$W,MATCH(Main!R$1,값!$2:$2,0),0))</f>
        <v>6.9599999999999995E-2</v>
      </c>
      <c r="S85" s="12">
        <f>IF(VLOOKUP($A85,값!$A:$W,MATCH(Main!S$1,값!$2:$2,0),0)="",NA(),VLOOKUP($A85,값!$A:$W,MATCH(Main!S$1,값!$2:$2,0),0))</f>
        <v>6.9599999999999995E-2</v>
      </c>
      <c r="T85" s="12">
        <f>IF(VLOOKUP($A85,값!$A:$W,MATCH(Main!T$1,값!$2:$2,0),0)="",NA(),VLOOKUP($A85,값!$A:$W,MATCH(Main!T$1,값!$2:$2,0),0))</f>
        <v>6.9599999999999995E-2</v>
      </c>
      <c r="U85" s="12">
        <f>IF(VLOOKUP($A85,값!$A:$W,MATCH(Main!U$1,값!$2:$2,0),0)="",NA(),VLOOKUP($A85,값!$A:$W,MATCH(Main!U$1,값!$2:$2,0),0))</f>
        <v>6.9599999999999995E-2</v>
      </c>
      <c r="V85" s="12">
        <f>IF(VLOOKUP($A85,값!$A:$W,MATCH(Main!V$1,값!$2:$2,0),0)="",NA(),VLOOKUP($A85,값!$A:$W,MATCH(Main!V$1,값!$2:$2,0),0))</f>
        <v>4.3254526464026277E-2</v>
      </c>
    </row>
    <row r="86" spans="1:22" x14ac:dyDescent="0.2">
      <c r="A86" s="1">
        <v>44286</v>
      </c>
      <c r="B86" s="12">
        <f>IF(VLOOKUP($A86,값!$A:$W,MATCH(Main!B$1,값!$2:$2,0),0)="",NA(),VLOOKUP($A86,값!$A:$W,MATCH(Main!B$1,값!$2:$2,0),0))</f>
        <v>8.7800000000000003E-2</v>
      </c>
      <c r="C86" s="12">
        <f>IF(VLOOKUP($A86,값!$A:$W,MATCH(Main!C$1,값!$2:$2,0),0)="",NA(),VLOOKUP($A86,값!$A:$W,MATCH(Main!C$1,값!$2:$2,0),0))</f>
        <v>0.17519999999999999</v>
      </c>
      <c r="D86" s="12">
        <f>IF(VLOOKUP($A86,값!$A:$W,MATCH(Main!D$1,값!$2:$2,0),0)="",NA(),VLOOKUP($A86,값!$A:$W,MATCH(Main!D$1,값!$2:$2,0),0))</f>
        <v>0.17519999999999999</v>
      </c>
      <c r="E86" s="12">
        <f>IF(VLOOKUP($A86,값!$A:$W,MATCH(Main!E$1,값!$2:$2,0),0)="",NA(),VLOOKUP($A86,값!$A:$W,MATCH(Main!E$1,값!$2:$2,0),0))</f>
        <v>7.0699999999999999E-2</v>
      </c>
      <c r="F86" s="12">
        <f>IF(VLOOKUP($A86,값!$A:$W,MATCH(Main!F$1,값!$2:$2,0),0)="",NA(),VLOOKUP($A86,값!$A:$W,MATCH(Main!F$1,값!$2:$2,0),0))</f>
        <v>0.15279999999999999</v>
      </c>
      <c r="G86" s="12">
        <f>IF(VLOOKUP($A86,값!$A:$W,MATCH(Main!G$1,값!$2:$2,0),0)="",NA(),VLOOKUP($A86,값!$A:$W,MATCH(Main!G$1,값!$2:$2,0),0))</f>
        <v>7.0699999999999999E-2</v>
      </c>
      <c r="H86" s="12">
        <f>IF(VLOOKUP($A86,값!$A:$W,MATCH(Main!H$1,값!$2:$2,0),0)="",NA(),VLOOKUP($A86,값!$A:$W,MATCH(Main!H$1,값!$2:$2,0),0))</f>
        <v>1.67E-2</v>
      </c>
      <c r="I86" s="12">
        <f>IF(VLOOKUP($A86,값!$A:$W,MATCH(Main!I$1,값!$2:$2,0),0)="",NA(),VLOOKUP($A86,값!$A:$W,MATCH(Main!I$1,값!$2:$2,0),0))</f>
        <v>7.5899999999999995E-2</v>
      </c>
      <c r="J86" s="12">
        <f>IF(VLOOKUP($A86,값!$A:$W,MATCH(Main!J$1,값!$2:$2,0),0)="",NA(),VLOOKUP($A86,값!$A:$W,MATCH(Main!J$1,값!$2:$2,0),0))</f>
        <v>4.5900000000000003E-2</v>
      </c>
      <c r="K86" s="12">
        <f>IF(VLOOKUP($A86,값!$A:$W,MATCH(Main!K$1,값!$2:$2,0),0)="",NA(),VLOOKUP($A86,값!$A:$W,MATCH(Main!K$1,값!$2:$2,0),0))</f>
        <v>3.5939528165908952E-2</v>
      </c>
      <c r="L86" s="12">
        <f>IF(VLOOKUP($A86,값!$A:$W,MATCH(Main!L$1,값!$2:$2,0),0)="",NA(),VLOOKUP($A86,값!$A:$W,MATCH(Main!L$1,값!$2:$2,0),0))</f>
        <v>1.5851000000000001E-2</v>
      </c>
      <c r="M86" s="12">
        <f>IF(VLOOKUP($A86,값!$A:$W,MATCH(Main!M$1,값!$2:$2,0),0)="",NA(),VLOOKUP($A86,값!$A:$W,MATCH(Main!M$1,값!$2:$2,0),0))</f>
        <v>2.07E-2</v>
      </c>
      <c r="N86" s="12">
        <f>IF(VLOOKUP($A86,값!$A:$W,MATCH(Main!N$1,값!$2:$2,0),0)="",NA(),VLOOKUP($A86,값!$A:$W,MATCH(Main!N$1,값!$2:$2,0),0))</f>
        <v>1.5851000000000001E-2</v>
      </c>
      <c r="O86" s="12">
        <f>IF(VLOOKUP($A86,값!$A:$W,MATCH(Main!O$1,값!$2:$2,0),0)="",NA(),VLOOKUP($A86,값!$A:$W,MATCH(Main!O$1,값!$2:$2,0),0))</f>
        <v>-1.222E-2</v>
      </c>
      <c r="P86" s="12">
        <f>IF(VLOOKUP($A86,값!$A:$W,MATCH(Main!P$1,값!$2:$2,0),0)="",NA(),VLOOKUP($A86,값!$A:$W,MATCH(Main!P$1,값!$2:$2,0),0))</f>
        <v>2.01624E-2</v>
      </c>
      <c r="Q86" s="12">
        <f>IF(VLOOKUP($A86,값!$A:$W,MATCH(Main!Q$1,값!$2:$2,0),0)="",NA(),VLOOKUP($A86,값!$A:$W,MATCH(Main!Q$1,값!$2:$2,0),0))</f>
        <v>6.1093731799480855E-2</v>
      </c>
      <c r="R86" s="12">
        <f>IF(VLOOKUP($A86,값!$A:$W,MATCH(Main!R$1,값!$2:$2,0),0)="",NA(),VLOOKUP($A86,값!$A:$W,MATCH(Main!R$1,값!$2:$2,0),0))</f>
        <v>6.8999999999999999E-3</v>
      </c>
      <c r="S86" s="12">
        <f>IF(VLOOKUP($A86,값!$A:$W,MATCH(Main!S$1,값!$2:$2,0),0)="",NA(),VLOOKUP($A86,값!$A:$W,MATCH(Main!S$1,값!$2:$2,0),0))</f>
        <v>6.8999999999999999E-3</v>
      </c>
      <c r="T86" s="12">
        <f>IF(VLOOKUP($A86,값!$A:$W,MATCH(Main!T$1,값!$2:$2,0),0)="",NA(),VLOOKUP($A86,값!$A:$W,MATCH(Main!T$1,값!$2:$2,0),0))</f>
        <v>6.8999999999999999E-3</v>
      </c>
      <c r="U86" s="12">
        <f>IF(VLOOKUP($A86,값!$A:$W,MATCH(Main!U$1,값!$2:$2,0),0)="",NA(),VLOOKUP($A86,값!$A:$W,MATCH(Main!U$1,값!$2:$2,0),0))</f>
        <v>6.8999999999999999E-3</v>
      </c>
      <c r="V86" s="12">
        <f>IF(VLOOKUP($A86,값!$A:$W,MATCH(Main!V$1,값!$2:$2,0),0)="",NA(),VLOOKUP($A86,값!$A:$W,MATCH(Main!V$1,값!$2:$2,0),0))</f>
        <v>-5.0953085030389422E-2</v>
      </c>
    </row>
    <row r="87" spans="1:22" x14ac:dyDescent="0.2">
      <c r="A87" s="1">
        <v>44377</v>
      </c>
      <c r="B87" s="12">
        <f>IF(VLOOKUP($A87,값!$A:$W,MATCH(Main!B$1,값!$2:$2,0),0)="",NA(),VLOOKUP($A87,값!$A:$W,MATCH(Main!B$1,값!$2:$2,0),0))</f>
        <v>0.12759999999999999</v>
      </c>
      <c r="C87" s="12">
        <f>IF(VLOOKUP($A87,값!$A:$W,MATCH(Main!C$1,값!$2:$2,0),0)="",NA(),VLOOKUP($A87,값!$A:$W,MATCH(Main!C$1,값!$2:$2,0),0))</f>
        <v>0.13519999999999999</v>
      </c>
      <c r="D87" s="12">
        <f>IF(VLOOKUP($A87,값!$A:$W,MATCH(Main!D$1,값!$2:$2,0),0)="",NA(),VLOOKUP($A87,값!$A:$W,MATCH(Main!D$1,값!$2:$2,0),0))</f>
        <v>0.13519999999999999</v>
      </c>
      <c r="E87" s="12">
        <f>IF(VLOOKUP($A87,값!$A:$W,MATCH(Main!E$1,값!$2:$2,0),0)="",NA(),VLOOKUP($A87,값!$A:$W,MATCH(Main!E$1,값!$2:$2,0),0))</f>
        <v>0.14399999999999999</v>
      </c>
      <c r="F87" s="12">
        <f>IF(VLOOKUP($A87,값!$A:$W,MATCH(Main!F$1,값!$2:$2,0),0)="",NA(),VLOOKUP($A87,값!$A:$W,MATCH(Main!F$1,값!$2:$2,0),0))</f>
        <v>9.1899999999999996E-2</v>
      </c>
      <c r="G87" s="12">
        <f>IF(VLOOKUP($A87,값!$A:$W,MATCH(Main!G$1,값!$2:$2,0),0)="",NA(),VLOOKUP($A87,값!$A:$W,MATCH(Main!G$1,값!$2:$2,0),0))</f>
        <v>0.14399999999999999</v>
      </c>
      <c r="H87" s="12">
        <f>IF(VLOOKUP($A87,값!$A:$W,MATCH(Main!H$1,값!$2:$2,0),0)="",NA(),VLOOKUP($A87,값!$A:$W,MATCH(Main!H$1,값!$2:$2,0),0))</f>
        <v>3.0599999999999999E-2</v>
      </c>
      <c r="I87" s="12">
        <f>IF(VLOOKUP($A87,값!$A:$W,MATCH(Main!I$1,값!$2:$2,0),0)="",NA(),VLOOKUP($A87,값!$A:$W,MATCH(Main!I$1,값!$2:$2,0),0))</f>
        <v>7.4899999999999994E-2</v>
      </c>
      <c r="J87" s="12">
        <f>IF(VLOOKUP($A87,값!$A:$W,MATCH(Main!J$1,값!$2:$2,0),0)="",NA(),VLOOKUP($A87,값!$A:$W,MATCH(Main!J$1,값!$2:$2,0),0))</f>
        <v>8.5199999999999998E-2</v>
      </c>
      <c r="K87" s="12">
        <f>IF(VLOOKUP($A87,값!$A:$W,MATCH(Main!K$1,값!$2:$2,0),0)="",NA(),VLOOKUP($A87,값!$A:$W,MATCH(Main!K$1,값!$2:$2,0),0))</f>
        <v>2.1692226806066195E-2</v>
      </c>
      <c r="L87" s="12">
        <f>IF(VLOOKUP($A87,값!$A:$W,MATCH(Main!L$1,값!$2:$2,0),0)="",NA(),VLOOKUP($A87,값!$A:$W,MATCH(Main!L$1,값!$2:$2,0),0))</f>
        <v>3.7583999999999999E-2</v>
      </c>
      <c r="M87" s="12">
        <f>IF(VLOOKUP($A87,값!$A:$W,MATCH(Main!M$1,값!$2:$2,0),0)="",NA(),VLOOKUP($A87,값!$A:$W,MATCH(Main!M$1,값!$2:$2,0),0))</f>
        <v>7.0999999999999994E-2</v>
      </c>
      <c r="N87" s="12">
        <f>IF(VLOOKUP($A87,값!$A:$W,MATCH(Main!N$1,값!$2:$2,0),0)="",NA(),VLOOKUP($A87,값!$A:$W,MATCH(Main!N$1,값!$2:$2,0),0))</f>
        <v>3.7583999999999999E-2</v>
      </c>
      <c r="O87" s="12">
        <f>IF(VLOOKUP($A87,값!$A:$W,MATCH(Main!O$1,값!$2:$2,0),0)="",NA(),VLOOKUP($A87,값!$A:$W,MATCH(Main!O$1,값!$2:$2,0),0))</f>
        <v>2.4500000000000001E-2</v>
      </c>
      <c r="P87" s="12">
        <f>IF(VLOOKUP($A87,값!$A:$W,MATCH(Main!P$1,값!$2:$2,0),0)="",NA(),VLOOKUP($A87,값!$A:$W,MATCH(Main!P$1,값!$2:$2,0),0))</f>
        <v>2.2757200000000002E-2</v>
      </c>
      <c r="Q87" s="12">
        <f>IF(VLOOKUP($A87,값!$A:$W,MATCH(Main!Q$1,값!$2:$2,0),0)="",NA(),VLOOKUP($A87,값!$A:$W,MATCH(Main!Q$1,값!$2:$2,0),0))</f>
        <v>9.4214190591244806E-2</v>
      </c>
      <c r="R87" s="12">
        <f>IF(VLOOKUP($A87,값!$A:$W,MATCH(Main!R$1,값!$2:$2,0),0)="",NA(),VLOOKUP($A87,값!$A:$W,MATCH(Main!R$1,값!$2:$2,0),0))</f>
        <v>3.1300000000000001E-2</v>
      </c>
      <c r="S87" s="12">
        <f>IF(VLOOKUP($A87,값!$A:$W,MATCH(Main!S$1,값!$2:$2,0),0)="",NA(),VLOOKUP($A87,값!$A:$W,MATCH(Main!S$1,값!$2:$2,0),0))</f>
        <v>3.1300000000000001E-2</v>
      </c>
      <c r="T87" s="12">
        <f>IF(VLOOKUP($A87,값!$A:$W,MATCH(Main!T$1,값!$2:$2,0),0)="",NA(),VLOOKUP($A87,값!$A:$W,MATCH(Main!T$1,값!$2:$2,0),0))</f>
        <v>3.1300000000000001E-2</v>
      </c>
      <c r="U87" s="12">
        <f>IF(VLOOKUP($A87,값!$A:$W,MATCH(Main!U$1,값!$2:$2,0),0)="",NA(),VLOOKUP($A87,값!$A:$W,MATCH(Main!U$1,값!$2:$2,0),0))</f>
        <v>3.1300000000000001E-2</v>
      </c>
      <c r="V87" s="12">
        <f>IF(VLOOKUP($A87,값!$A:$W,MATCH(Main!V$1,값!$2:$2,0),0)="",NA(),VLOOKUP($A87,값!$A:$W,MATCH(Main!V$1,값!$2:$2,0),0))</f>
        <v>4.3433262987482291E-2</v>
      </c>
    </row>
    <row r="88" spans="1:22" x14ac:dyDescent="0.2">
      <c r="A88" s="1">
        <v>44469</v>
      </c>
      <c r="B88" s="12">
        <f>IF(VLOOKUP($A88,값!$A:$W,MATCH(Main!B$1,값!$2:$2,0),0)="",NA(),VLOOKUP($A88,값!$A:$W,MATCH(Main!B$1,값!$2:$2,0),0))</f>
        <v>6.2399999999999997E-2</v>
      </c>
      <c r="C88" s="12">
        <f>IF(VLOOKUP($A88,값!$A:$W,MATCH(Main!C$1,값!$2:$2,0),0)="",NA(),VLOOKUP($A88,값!$A:$W,MATCH(Main!C$1,값!$2:$2,0),0))</f>
        <v>0.1061</v>
      </c>
      <c r="D88" s="12">
        <f>IF(VLOOKUP($A88,값!$A:$W,MATCH(Main!D$1,값!$2:$2,0),0)="",NA(),VLOOKUP($A88,값!$A:$W,MATCH(Main!D$1,값!$2:$2,0),0))</f>
        <v>0.1061</v>
      </c>
      <c r="E88" s="12">
        <f>IF(VLOOKUP($A88,값!$A:$W,MATCH(Main!E$1,값!$2:$2,0),0)="",NA(),VLOOKUP($A88,값!$A:$W,MATCH(Main!E$1,값!$2:$2,0),0))</f>
        <v>9.4299999999999995E-2</v>
      </c>
      <c r="F88" s="12">
        <f>IF(VLOOKUP($A88,값!$A:$W,MATCH(Main!F$1,값!$2:$2,0),0)="",NA(),VLOOKUP($A88,값!$A:$W,MATCH(Main!F$1,값!$2:$2,0),0))</f>
        <v>3.09E-2</v>
      </c>
      <c r="G88" s="12">
        <f>IF(VLOOKUP($A88,값!$A:$W,MATCH(Main!G$1,값!$2:$2,0),0)="",NA(),VLOOKUP($A88,값!$A:$W,MATCH(Main!G$1,값!$2:$2,0),0))</f>
        <v>9.4299999999999995E-2</v>
      </c>
      <c r="H88" s="12">
        <f>IF(VLOOKUP($A88,값!$A:$W,MATCH(Main!H$1,값!$2:$2,0),0)="",NA(),VLOOKUP($A88,값!$A:$W,MATCH(Main!H$1,값!$2:$2,0),0))</f>
        <v>1.7100000000000001E-2</v>
      </c>
      <c r="I88" s="12">
        <f>IF(VLOOKUP($A88,값!$A:$W,MATCH(Main!I$1,값!$2:$2,0),0)="",NA(),VLOOKUP($A88,값!$A:$W,MATCH(Main!I$1,값!$2:$2,0),0))</f>
        <v>3.9399999999999998E-2</v>
      </c>
      <c r="J88" s="12">
        <f>IF(VLOOKUP($A88,값!$A:$W,MATCH(Main!J$1,값!$2:$2,0),0)="",NA(),VLOOKUP($A88,값!$A:$W,MATCH(Main!J$1,값!$2:$2,0),0))</f>
        <v>-1.6E-2</v>
      </c>
      <c r="K88" s="12">
        <f>IF(VLOOKUP($A88,값!$A:$W,MATCH(Main!K$1,값!$2:$2,0),0)="",NA(),VLOOKUP($A88,값!$A:$W,MATCH(Main!K$1,값!$2:$2,0),0))</f>
        <v>9.7507621419097301E-3</v>
      </c>
      <c r="L88" s="12">
        <f>IF(VLOOKUP($A88,값!$A:$W,MATCH(Main!L$1,값!$2:$2,0),0)="",NA(),VLOOKUP($A88,값!$A:$W,MATCH(Main!L$1,값!$2:$2,0),0))</f>
        <v>3.7435999999999997E-2</v>
      </c>
      <c r="M88" s="12">
        <f>IF(VLOOKUP($A88,값!$A:$W,MATCH(Main!M$1,값!$2:$2,0),0)="",NA(),VLOOKUP($A88,값!$A:$W,MATCH(Main!M$1,값!$2:$2,0),0))</f>
        <v>8.6499999999999994E-2</v>
      </c>
      <c r="N88" s="12">
        <f>IF(VLOOKUP($A88,값!$A:$W,MATCH(Main!N$1,값!$2:$2,0),0)="",NA(),VLOOKUP($A88,값!$A:$W,MATCH(Main!N$1,값!$2:$2,0),0))</f>
        <v>3.7435999999999997E-2</v>
      </c>
      <c r="O88" s="12">
        <f>IF(VLOOKUP($A88,값!$A:$W,MATCH(Main!O$1,값!$2:$2,0),0)="",NA(),VLOOKUP($A88,값!$A:$W,MATCH(Main!O$1,값!$2:$2,0),0))</f>
        <v>4.1999999999999997E-3</v>
      </c>
      <c r="P88" s="12">
        <f>IF(VLOOKUP($A88,값!$A:$W,MATCH(Main!P$1,값!$2:$2,0),0)="",NA(),VLOOKUP($A88,값!$A:$W,MATCH(Main!P$1,값!$2:$2,0),0))</f>
        <v>2.0326199999999999E-2</v>
      </c>
      <c r="Q88" s="12">
        <f>IF(VLOOKUP($A88,값!$A:$W,MATCH(Main!Q$1,값!$2:$2,0),0)="",NA(),VLOOKUP($A88,값!$A:$W,MATCH(Main!Q$1,값!$2:$2,0),0))</f>
        <v>-7.2639862595358373E-3</v>
      </c>
      <c r="R88" s="12">
        <f>IF(VLOOKUP($A88,값!$A:$W,MATCH(Main!R$1,값!$2:$2,0),0)="",NA(),VLOOKUP($A88,값!$A:$W,MATCH(Main!R$1,값!$2:$2,0),0))</f>
        <v>1.7299999999999999E-2</v>
      </c>
      <c r="S88" s="12">
        <f>IF(VLOOKUP($A88,값!$A:$W,MATCH(Main!S$1,값!$2:$2,0),0)="",NA(),VLOOKUP($A88,값!$A:$W,MATCH(Main!S$1,값!$2:$2,0),0))</f>
        <v>1.7299999999999999E-2</v>
      </c>
      <c r="T88" s="12">
        <f>IF(VLOOKUP($A88,값!$A:$W,MATCH(Main!T$1,값!$2:$2,0),0)="",NA(),VLOOKUP($A88,값!$A:$W,MATCH(Main!T$1,값!$2:$2,0),0))</f>
        <v>1.7299999999999999E-2</v>
      </c>
      <c r="U88" s="12">
        <f>IF(VLOOKUP($A88,값!$A:$W,MATCH(Main!U$1,값!$2:$2,0),0)="",NA(),VLOOKUP($A88,값!$A:$W,MATCH(Main!U$1,값!$2:$2,0),0))</f>
        <v>1.7299999999999999E-2</v>
      </c>
      <c r="V88" s="12">
        <f>IF(VLOOKUP($A88,값!$A:$W,MATCH(Main!V$1,값!$2:$2,0),0)="",NA(),VLOOKUP($A88,값!$A:$W,MATCH(Main!V$1,값!$2:$2,0),0))</f>
        <v>4.5296621845243301E-3</v>
      </c>
    </row>
    <row r="89" spans="1:22" x14ac:dyDescent="0.2">
      <c r="A89" s="1">
        <v>44561</v>
      </c>
      <c r="B89" s="12">
        <f>IF(VLOOKUP($A89,값!$A:$W,MATCH(Main!B$1,값!$2:$2,0),0)="",NA(),VLOOKUP($A89,값!$A:$W,MATCH(Main!B$1,값!$2:$2,0),0))</f>
        <v>6.6500000000000004E-2</v>
      </c>
      <c r="C89" s="12">
        <f>IF(VLOOKUP($A89,값!$A:$W,MATCH(Main!C$1,값!$2:$2,0),0)="",NA(),VLOOKUP($A89,값!$A:$W,MATCH(Main!C$1,값!$2:$2,0),0))</f>
        <v>8.0799999999999997E-2</v>
      </c>
      <c r="D89" s="12">
        <f>IF(VLOOKUP($A89,값!$A:$W,MATCH(Main!D$1,값!$2:$2,0),0)="",NA(),VLOOKUP($A89,값!$A:$W,MATCH(Main!D$1,값!$2:$2,0),0))</f>
        <v>8.0799999999999997E-2</v>
      </c>
      <c r="E89" s="12">
        <f>IF(VLOOKUP($A89,값!$A:$W,MATCH(Main!E$1,값!$2:$2,0),0)="",NA(),VLOOKUP($A89,값!$A:$W,MATCH(Main!E$1,값!$2:$2,0),0))</f>
        <v>8.1000000000000003E-2</v>
      </c>
      <c r="F89" s="12">
        <f>IF(VLOOKUP($A89,값!$A:$W,MATCH(Main!F$1,값!$2:$2,0),0)="",NA(),VLOOKUP($A89,값!$A:$W,MATCH(Main!F$1,값!$2:$2,0),0))</f>
        <v>4.9399999999999999E-2</v>
      </c>
      <c r="G89" s="12">
        <f>IF(VLOOKUP($A89,값!$A:$W,MATCH(Main!G$1,값!$2:$2,0),0)="",NA(),VLOOKUP($A89,값!$A:$W,MATCH(Main!G$1,값!$2:$2,0),0))</f>
        <v>8.1000000000000003E-2</v>
      </c>
      <c r="H89" s="12">
        <f>IF(VLOOKUP($A89,값!$A:$W,MATCH(Main!H$1,값!$2:$2,0),0)="",NA(),VLOOKUP($A89,값!$A:$W,MATCH(Main!H$1,값!$2:$2,0),0))</f>
        <v>1.9800000000000002E-2</v>
      </c>
      <c r="I89" s="12">
        <f>IF(VLOOKUP($A89,값!$A:$W,MATCH(Main!I$1,값!$2:$2,0),0)="",NA(),VLOOKUP($A89,값!$A:$W,MATCH(Main!I$1,값!$2:$2,0),0))</f>
        <v>3.6299999999999999E-2</v>
      </c>
      <c r="J89" s="12">
        <f>IF(VLOOKUP($A89,값!$A:$W,MATCH(Main!J$1,값!$2:$2,0),0)="",NA(),VLOOKUP($A89,값!$A:$W,MATCH(Main!J$1,값!$2:$2,0),0))</f>
        <v>2.8000000000000001E-2</v>
      </c>
      <c r="K89" s="12">
        <f>IF(VLOOKUP($A89,값!$A:$W,MATCH(Main!K$1,값!$2:$2,0),0)="",NA(),VLOOKUP($A89,값!$A:$W,MATCH(Main!K$1,값!$2:$2,0),0))</f>
        <v>7.0013706772116269E-3</v>
      </c>
      <c r="L89" s="12">
        <f>IF(VLOOKUP($A89,값!$A:$W,MATCH(Main!L$1,값!$2:$2,0),0)="",NA(),VLOOKUP($A89,값!$A:$W,MATCH(Main!L$1,값!$2:$2,0),0))</f>
        <v>6.7935999999999996E-2</v>
      </c>
      <c r="M89" s="12">
        <f>IF(VLOOKUP($A89,값!$A:$W,MATCH(Main!M$1,값!$2:$2,0),0)="",NA(),VLOOKUP($A89,값!$A:$W,MATCH(Main!M$1,값!$2:$2,0),0))</f>
        <v>9.2399999999999996E-2</v>
      </c>
      <c r="N89" s="12">
        <f>IF(VLOOKUP($A89,값!$A:$W,MATCH(Main!N$1,값!$2:$2,0),0)="",NA(),VLOOKUP($A89,값!$A:$W,MATCH(Main!N$1,값!$2:$2,0),0))</f>
        <v>6.7935999999999996E-2</v>
      </c>
      <c r="O89" s="12">
        <f>IF(VLOOKUP($A89,값!$A:$W,MATCH(Main!O$1,값!$2:$2,0),0)="",NA(),VLOOKUP($A89,값!$A:$W,MATCH(Main!O$1,값!$2:$2,0),0))</f>
        <v>2.8E-3</v>
      </c>
      <c r="P89" s="12">
        <f>IF(VLOOKUP($A89,값!$A:$W,MATCH(Main!P$1,값!$2:$2,0),0)="",NA(),VLOOKUP($A89,값!$A:$W,MATCH(Main!P$1,값!$2:$2,0),0))</f>
        <v>1.89059E-2</v>
      </c>
      <c r="Q89" s="12">
        <f>IF(VLOOKUP($A89,값!$A:$W,MATCH(Main!Q$1,값!$2:$2,0),0)="",NA(),VLOOKUP($A89,값!$A:$W,MATCH(Main!Q$1,값!$2:$2,0),0))</f>
        <v>0.10368642879756917</v>
      </c>
      <c r="R89" s="12">
        <f>IF(VLOOKUP($A89,값!$A:$W,MATCH(Main!R$1,값!$2:$2,0),0)="",NA(),VLOOKUP($A89,값!$A:$W,MATCH(Main!R$1,값!$2:$2,0),0))</f>
        <v>2.58E-2</v>
      </c>
      <c r="S89" s="12">
        <f>IF(VLOOKUP($A89,값!$A:$W,MATCH(Main!S$1,값!$2:$2,0),0)="",NA(),VLOOKUP($A89,값!$A:$W,MATCH(Main!S$1,값!$2:$2,0),0))</f>
        <v>2.58E-2</v>
      </c>
      <c r="T89" s="12">
        <f>IF(VLOOKUP($A89,값!$A:$W,MATCH(Main!T$1,값!$2:$2,0),0)="",NA(),VLOOKUP($A89,값!$A:$W,MATCH(Main!T$1,값!$2:$2,0),0))</f>
        <v>2.58E-2</v>
      </c>
      <c r="U89" s="12">
        <f>IF(VLOOKUP($A89,값!$A:$W,MATCH(Main!U$1,값!$2:$2,0),0)="",NA(),VLOOKUP($A89,값!$A:$W,MATCH(Main!U$1,값!$2:$2,0),0))</f>
        <v>2.58E-2</v>
      </c>
      <c r="V89" s="12">
        <f>IF(VLOOKUP($A89,값!$A:$W,MATCH(Main!V$1,값!$2:$2,0),0)="",NA(),VLOOKUP($A89,값!$A:$W,MATCH(Main!V$1,값!$2:$2,0),0))</f>
        <v>8.5099810493716177E-4</v>
      </c>
    </row>
    <row r="90" spans="1:22" x14ac:dyDescent="0.2">
      <c r="A90" s="1">
        <v>44651</v>
      </c>
      <c r="B90" s="12">
        <f>IF(VLOOKUP($A90,값!$A:$W,MATCH(Main!B$1,값!$2:$2,0),0)="",NA(),VLOOKUP($A90,값!$A:$W,MATCH(Main!B$1,값!$2:$2,0),0))</f>
        <v>4.8999999999999998E-3</v>
      </c>
      <c r="C90" s="12">
        <f>IF(VLOOKUP($A90,값!$A:$W,MATCH(Main!C$1,값!$2:$2,0),0)="",NA(),VLOOKUP($A90,값!$A:$W,MATCH(Main!C$1,값!$2:$2,0),0))</f>
        <v>-5.5800000000000002E-2</v>
      </c>
      <c r="D90" s="12">
        <f>IF(VLOOKUP($A90,값!$A:$W,MATCH(Main!D$1,값!$2:$2,0),0)="",NA(),VLOOKUP($A90,값!$A:$W,MATCH(Main!D$1,값!$2:$2,0),0))</f>
        <v>-5.5800000000000002E-2</v>
      </c>
      <c r="E90" s="12">
        <f>IF(VLOOKUP($A90,값!$A:$W,MATCH(Main!E$1,값!$2:$2,0),0)="",NA(),VLOOKUP($A90,값!$A:$W,MATCH(Main!E$1,값!$2:$2,0),0))</f>
        <v>4.0000000000000001E-3</v>
      </c>
      <c r="F90" s="12">
        <f>IF(VLOOKUP($A90,값!$A:$W,MATCH(Main!F$1,값!$2:$2,0),0)="",NA(),VLOOKUP($A90,값!$A:$W,MATCH(Main!F$1,값!$2:$2,0),0))</f>
        <v>-2.4400000000000002E-2</v>
      </c>
      <c r="G90" s="12">
        <f>IF(VLOOKUP($A90,값!$A:$W,MATCH(Main!G$1,값!$2:$2,0),0)="",NA(),VLOOKUP($A90,값!$A:$W,MATCH(Main!G$1,값!$2:$2,0),0))</f>
        <v>4.0000000000000001E-3</v>
      </c>
      <c r="H90" s="12">
        <f>IF(VLOOKUP($A90,값!$A:$W,MATCH(Main!H$1,값!$2:$2,0),0)="",NA(),VLOOKUP($A90,값!$A:$W,MATCH(Main!H$1,값!$2:$2,0),0))</f>
        <v>2.6599999999999999E-2</v>
      </c>
      <c r="I90" s="12">
        <f>IF(VLOOKUP($A90,값!$A:$W,MATCH(Main!I$1,값!$2:$2,0),0)="",NA(),VLOOKUP($A90,값!$A:$W,MATCH(Main!I$1,값!$2:$2,0),0))</f>
        <v>2.3699999999999999E-2</v>
      </c>
      <c r="J90" s="12">
        <f>IF(VLOOKUP($A90,값!$A:$W,MATCH(Main!J$1,값!$2:$2,0),0)="",NA(),VLOOKUP($A90,값!$A:$W,MATCH(Main!J$1,값!$2:$2,0),0))</f>
        <v>-3.8699999999999998E-2</v>
      </c>
      <c r="K90" s="12">
        <f>IF(VLOOKUP($A90,값!$A:$W,MATCH(Main!K$1,값!$2:$2,0),0)="",NA(),VLOOKUP($A90,값!$A:$W,MATCH(Main!K$1,값!$2:$2,0),0))</f>
        <v>1.5789997167574565E-3</v>
      </c>
      <c r="L90" s="12">
        <f>IF(VLOOKUP($A90,값!$A:$W,MATCH(Main!L$1,값!$2:$2,0),0)="",NA(),VLOOKUP($A90,값!$A:$W,MATCH(Main!L$1,값!$2:$2,0),0))</f>
        <v>5.8585999999999999E-2</v>
      </c>
      <c r="M90" s="12">
        <f>IF(VLOOKUP($A90,값!$A:$W,MATCH(Main!M$1,값!$2:$2,0),0)="",NA(),VLOOKUP($A90,값!$A:$W,MATCH(Main!M$1,값!$2:$2,0),0))</f>
        <v>5.79E-2</v>
      </c>
      <c r="N90" s="12">
        <f>IF(VLOOKUP($A90,값!$A:$W,MATCH(Main!N$1,값!$2:$2,0),0)="",NA(),VLOOKUP($A90,값!$A:$W,MATCH(Main!N$1,값!$2:$2,0),0))</f>
        <v>5.8585999999999999E-2</v>
      </c>
      <c r="O90" s="12">
        <f>IF(VLOOKUP($A90,값!$A:$W,MATCH(Main!O$1,값!$2:$2,0),0)="",NA(),VLOOKUP($A90,값!$A:$W,MATCH(Main!O$1,값!$2:$2,0),0))</f>
        <v>-4.41E-2</v>
      </c>
      <c r="P90" s="12">
        <f>IF(VLOOKUP($A90,값!$A:$W,MATCH(Main!P$1,값!$2:$2,0),0)="",NA(),VLOOKUP($A90,값!$A:$W,MATCH(Main!P$1,값!$2:$2,0),0))</f>
        <v>1.6552299999999999E-2</v>
      </c>
      <c r="Q90" s="12">
        <f>IF(VLOOKUP($A90,값!$A:$W,MATCH(Main!Q$1,값!$2:$2,0),0)="",NA(),VLOOKUP($A90,값!$A:$W,MATCH(Main!Q$1,값!$2:$2,0),0))</f>
        <v>-3.7685695085377224E-2</v>
      </c>
      <c r="R90" s="12">
        <f>IF(VLOOKUP($A90,값!$A:$W,MATCH(Main!R$1,값!$2:$2,0),0)="",NA(),VLOOKUP($A90,값!$A:$W,MATCH(Main!R$1,값!$2:$2,0),0))</f>
        <v>-1.9E-3</v>
      </c>
      <c r="S90" s="12">
        <f>IF(VLOOKUP($A90,값!$A:$W,MATCH(Main!S$1,값!$2:$2,0),0)="",NA(),VLOOKUP($A90,값!$A:$W,MATCH(Main!S$1,값!$2:$2,0),0))</f>
        <v>-1.9E-3</v>
      </c>
      <c r="T90" s="12">
        <f>IF(VLOOKUP($A90,값!$A:$W,MATCH(Main!T$1,값!$2:$2,0),0)="",NA(),VLOOKUP($A90,값!$A:$W,MATCH(Main!T$1,값!$2:$2,0),0))</f>
        <v>-1.9E-3</v>
      </c>
      <c r="U90" s="12">
        <f>IF(VLOOKUP($A90,값!$A:$W,MATCH(Main!U$1,값!$2:$2,0),0)="",NA(),VLOOKUP($A90,값!$A:$W,MATCH(Main!U$1,값!$2:$2,0),0))</f>
        <v>-1.9E-3</v>
      </c>
      <c r="V90" s="12">
        <f>IF(VLOOKUP($A90,값!$A:$W,MATCH(Main!V$1,값!$2:$2,0),0)="",NA(),VLOOKUP($A90,값!$A:$W,MATCH(Main!V$1,값!$2:$2,0),0))</f>
        <v>-7.9543507299734584E-2</v>
      </c>
    </row>
    <row r="91" spans="1:22" x14ac:dyDescent="0.2">
      <c r="A91" s="1">
        <v>44742</v>
      </c>
      <c r="B91" s="12">
        <f>IF(VLOOKUP($A91,값!$A:$W,MATCH(Main!B$1,값!$2:$2,0),0)="",NA(),VLOOKUP($A91,값!$A:$W,MATCH(Main!B$1,값!$2:$2,0),0))</f>
        <v>-3.56E-2</v>
      </c>
      <c r="C91" s="12">
        <f>IF(VLOOKUP($A91,값!$A:$W,MATCH(Main!C$1,값!$2:$2,0),0)="",NA(),VLOOKUP($A91,값!$A:$W,MATCH(Main!C$1,값!$2:$2,0),0))</f>
        <v>-0.13300000000000001</v>
      </c>
      <c r="D91" s="12">
        <f>IF(VLOOKUP($A91,값!$A:$W,MATCH(Main!D$1,값!$2:$2,0),0)="",NA(),VLOOKUP($A91,값!$A:$W,MATCH(Main!D$1,값!$2:$2,0),0))</f>
        <v>-0.13300000000000001</v>
      </c>
      <c r="E91" s="12">
        <f>IF(VLOOKUP($A91,값!$A:$W,MATCH(Main!E$1,값!$2:$2,0),0)="",NA(),VLOOKUP($A91,값!$A:$W,MATCH(Main!E$1,값!$2:$2,0),0))</f>
        <v>-3.3300000000000003E-2</v>
      </c>
      <c r="F91" s="12">
        <f>IF(VLOOKUP($A91,값!$A:$W,MATCH(Main!F$1,값!$2:$2,0),0)="",NA(),VLOOKUP($A91,값!$A:$W,MATCH(Main!F$1,값!$2:$2,0),0))</f>
        <v>-4.5499999999999999E-2</v>
      </c>
      <c r="G91" s="12">
        <f>IF(VLOOKUP($A91,값!$A:$W,MATCH(Main!G$1,값!$2:$2,0),0)="",NA(),VLOOKUP($A91,값!$A:$W,MATCH(Main!G$1,값!$2:$2,0),0))</f>
        <v>-3.3300000000000003E-2</v>
      </c>
      <c r="H91" s="12">
        <f>IF(VLOOKUP($A91,값!$A:$W,MATCH(Main!H$1,값!$2:$2,0),0)="",NA(),VLOOKUP($A91,값!$A:$W,MATCH(Main!H$1,값!$2:$2,0),0))</f>
        <v>-1.29E-2</v>
      </c>
      <c r="I91" s="12">
        <f>IF(VLOOKUP($A91,값!$A:$W,MATCH(Main!I$1,값!$2:$2,0),0)="",NA(),VLOOKUP($A91,값!$A:$W,MATCH(Main!I$1,값!$2:$2,0),0))</f>
        <v>-1.7100000000000001E-2</v>
      </c>
      <c r="J91" s="12">
        <f>IF(VLOOKUP($A91,값!$A:$W,MATCH(Main!J$1,값!$2:$2,0),0)="",NA(),VLOOKUP($A91,값!$A:$W,MATCH(Main!J$1,값!$2:$2,0),0))</f>
        <v>-1.12E-2</v>
      </c>
      <c r="K91" s="12">
        <f>IF(VLOOKUP($A91,값!$A:$W,MATCH(Main!K$1,값!$2:$2,0),0)="",NA(),VLOOKUP($A91,값!$A:$W,MATCH(Main!K$1,값!$2:$2,0),0))</f>
        <v>-1.710245771375063E-2</v>
      </c>
      <c r="L91" s="12">
        <f>IF(VLOOKUP($A91,값!$A:$W,MATCH(Main!L$1,값!$2:$2,0),0)="",NA(),VLOOKUP($A91,값!$A:$W,MATCH(Main!L$1,값!$2:$2,0),0))</f>
        <v>3.9725999999999997E-2</v>
      </c>
      <c r="M91" s="12">
        <f>IF(VLOOKUP($A91,값!$A:$W,MATCH(Main!M$1,값!$2:$2,0),0)="",NA(),VLOOKUP($A91,값!$A:$W,MATCH(Main!M$1,값!$2:$2,0),0))</f>
        <v>-2.7000000000000001E-3</v>
      </c>
      <c r="N91" s="12">
        <f>IF(VLOOKUP($A91,값!$A:$W,MATCH(Main!N$1,값!$2:$2,0),0)="",NA(),VLOOKUP($A91,값!$A:$W,MATCH(Main!N$1,값!$2:$2,0),0))</f>
        <v>3.9725999999999997E-2</v>
      </c>
      <c r="O91" s="12">
        <f>IF(VLOOKUP($A91,값!$A:$W,MATCH(Main!O$1,값!$2:$2,0),0)="",NA(),VLOOKUP($A91,값!$A:$W,MATCH(Main!O$1,값!$2:$2,0),0))</f>
        <v>-1.9400000000000001E-2</v>
      </c>
      <c r="P91" s="12">
        <f>IF(VLOOKUP($A91,값!$A:$W,MATCH(Main!P$1,값!$2:$2,0),0)="",NA(),VLOOKUP($A91,값!$A:$W,MATCH(Main!P$1,값!$2:$2,0),0))</f>
        <v>1.88603E-2</v>
      </c>
      <c r="Q91" s="12">
        <f>IF(VLOOKUP($A91,값!$A:$W,MATCH(Main!Q$1,값!$2:$2,0),0)="",NA(),VLOOKUP($A91,값!$A:$W,MATCH(Main!Q$1,값!$2:$2,0),0))</f>
        <v>-0.17233208176125614</v>
      </c>
      <c r="R91" s="12">
        <f>IF(VLOOKUP($A91,값!$A:$W,MATCH(Main!R$1,값!$2:$2,0),0)="",NA(),VLOOKUP($A91,값!$A:$W,MATCH(Main!R$1,값!$2:$2,0),0))</f>
        <v>-1.21E-2</v>
      </c>
      <c r="S91" s="12">
        <f>IF(VLOOKUP($A91,값!$A:$W,MATCH(Main!S$1,값!$2:$2,0),0)="",NA(),VLOOKUP($A91,값!$A:$W,MATCH(Main!S$1,값!$2:$2,0),0))</f>
        <v>-1.21E-2</v>
      </c>
      <c r="T91" s="12">
        <f>IF(VLOOKUP($A91,값!$A:$W,MATCH(Main!T$1,값!$2:$2,0),0)="",NA(),VLOOKUP($A91,값!$A:$W,MATCH(Main!T$1,값!$2:$2,0),0))</f>
        <v>-1.21E-2</v>
      </c>
      <c r="U91" s="12">
        <f>IF(VLOOKUP($A91,값!$A:$W,MATCH(Main!U$1,값!$2:$2,0),0)="",NA(),VLOOKUP($A91,값!$A:$W,MATCH(Main!U$1,값!$2:$2,0),0))</f>
        <v>-1.21E-2</v>
      </c>
      <c r="V91" s="12">
        <f>IF(VLOOKUP($A91,값!$A:$W,MATCH(Main!V$1,값!$2:$2,0),0)="",NA(),VLOOKUP($A91,값!$A:$W,MATCH(Main!V$1,값!$2:$2,0),0))</f>
        <v>-8.5991777127830127E-2</v>
      </c>
    </row>
    <row r="92" spans="1:22" x14ac:dyDescent="0.2">
      <c r="A92" s="1">
        <v>44834</v>
      </c>
      <c r="B92" s="12">
        <f>IF(VLOOKUP($A92,값!$A:$W,MATCH(Main!B$1,값!$2:$2,0),0)="",NA(),VLOOKUP($A92,값!$A:$W,MATCH(Main!B$1,값!$2:$2,0),0))</f>
        <v>-1.5299999999999999E-2</v>
      </c>
      <c r="C92" s="12">
        <f>IF(VLOOKUP($A92,값!$A:$W,MATCH(Main!C$1,값!$2:$2,0),0)="",NA(),VLOOKUP($A92,값!$A:$W,MATCH(Main!C$1,값!$2:$2,0),0))</f>
        <v>-2.46E-2</v>
      </c>
      <c r="D92" s="12">
        <f>IF(VLOOKUP($A92,값!$A:$W,MATCH(Main!D$1,값!$2:$2,0),0)="",NA(),VLOOKUP($A92,값!$A:$W,MATCH(Main!D$1,값!$2:$2,0),0))</f>
        <v>-2.46E-2</v>
      </c>
      <c r="E92" s="12">
        <f>IF(VLOOKUP($A92,값!$A:$W,MATCH(Main!E$1,값!$2:$2,0),0)="",NA(),VLOOKUP($A92,값!$A:$W,MATCH(Main!E$1,값!$2:$2,0),0))</f>
        <v>-1.9400000000000001E-2</v>
      </c>
      <c r="F92" s="12">
        <f>IF(VLOOKUP($A92,값!$A:$W,MATCH(Main!F$1,값!$2:$2,0),0)="",NA(),VLOOKUP($A92,값!$A:$W,MATCH(Main!F$1,값!$2:$2,0),0))</f>
        <v>-3.7499999999999999E-2</v>
      </c>
      <c r="G92" s="12">
        <f>IF(VLOOKUP($A92,값!$A:$W,MATCH(Main!G$1,값!$2:$2,0),0)="",NA(),VLOOKUP($A92,값!$A:$W,MATCH(Main!G$1,값!$2:$2,0),0))</f>
        <v>-1.9400000000000001E-2</v>
      </c>
      <c r="H92" s="12">
        <f>IF(VLOOKUP($A92,값!$A:$W,MATCH(Main!H$1,값!$2:$2,0),0)="",NA(),VLOOKUP($A92,값!$A:$W,MATCH(Main!H$1,값!$2:$2,0),0))</f>
        <v>-0.01</v>
      </c>
      <c r="I92" s="12">
        <f>IF(VLOOKUP($A92,값!$A:$W,MATCH(Main!I$1,값!$2:$2,0),0)="",NA(),VLOOKUP($A92,값!$A:$W,MATCH(Main!I$1,값!$2:$2,0),0))</f>
        <v>1.03E-2</v>
      </c>
      <c r="J92" s="12">
        <f>IF(VLOOKUP($A92,값!$A:$W,MATCH(Main!J$1,값!$2:$2,0),0)="",NA(),VLOOKUP($A92,값!$A:$W,MATCH(Main!J$1,값!$2:$2,0),0))</f>
        <v>-0.04</v>
      </c>
      <c r="K92" s="12">
        <f>IF(VLOOKUP($A92,값!$A:$W,MATCH(Main!K$1,값!$2:$2,0),0)="",NA(),VLOOKUP($A92,값!$A:$W,MATCH(Main!K$1,값!$2:$2,0),0))</f>
        <v>2.0774681492756741E-3</v>
      </c>
      <c r="L92" s="12">
        <f>IF(VLOOKUP($A92,값!$A:$W,MATCH(Main!L$1,값!$2:$2,0),0)="",NA(),VLOOKUP($A92,값!$A:$W,MATCH(Main!L$1,값!$2:$2,0),0))</f>
        <v>-7.1000000000000005E-5</v>
      </c>
      <c r="M92" s="12">
        <f>IF(VLOOKUP($A92,값!$A:$W,MATCH(Main!M$1,값!$2:$2,0),0)="",NA(),VLOOKUP($A92,값!$A:$W,MATCH(Main!M$1,값!$2:$2,0),0))</f>
        <v>-1.52E-2</v>
      </c>
      <c r="N92" s="12">
        <f>IF(VLOOKUP($A92,값!$A:$W,MATCH(Main!N$1,값!$2:$2,0),0)="",NA(),VLOOKUP($A92,값!$A:$W,MATCH(Main!N$1,값!$2:$2,0),0))</f>
        <v>-7.1000000000000005E-5</v>
      </c>
      <c r="O92" s="12">
        <f>IF(VLOOKUP($A92,값!$A:$W,MATCH(Main!O$1,값!$2:$2,0),0)="",NA(),VLOOKUP($A92,값!$A:$W,MATCH(Main!O$1,값!$2:$2,0),0))</f>
        <v>-4.07E-2</v>
      </c>
      <c r="P92" s="12">
        <f>IF(VLOOKUP($A92,값!$A:$W,MATCH(Main!P$1,값!$2:$2,0),0)="",NA(),VLOOKUP($A92,값!$A:$W,MATCH(Main!P$1,값!$2:$2,0),0))</f>
        <v>2.70356E-2</v>
      </c>
      <c r="Q92" s="12">
        <f>IF(VLOOKUP($A92,값!$A:$W,MATCH(Main!Q$1,값!$2:$2,0),0)="",NA(),VLOOKUP($A92,값!$A:$W,MATCH(Main!Q$1,값!$2:$2,0),0))</f>
        <v>-0.11386758817923581</v>
      </c>
      <c r="R92" s="12">
        <f>IF(VLOOKUP($A92,값!$A:$W,MATCH(Main!R$1,값!$2:$2,0),0)="",NA(),VLOOKUP($A92,값!$A:$W,MATCH(Main!R$1,값!$2:$2,0),0))</f>
        <v>-2.7400000000000001E-2</v>
      </c>
      <c r="S92" s="12">
        <f>IF(VLOOKUP($A92,값!$A:$W,MATCH(Main!S$1,값!$2:$2,0),0)="",NA(),VLOOKUP($A92,값!$A:$W,MATCH(Main!S$1,값!$2:$2,0),0))</f>
        <v>-2.7400000000000001E-2</v>
      </c>
      <c r="T92" s="12">
        <f>IF(VLOOKUP($A92,값!$A:$W,MATCH(Main!T$1,값!$2:$2,0),0)="",NA(),VLOOKUP($A92,값!$A:$W,MATCH(Main!T$1,값!$2:$2,0),0))</f>
        <v>-2.7400000000000001E-2</v>
      </c>
      <c r="U92" s="12">
        <f>IF(VLOOKUP($A92,값!$A:$W,MATCH(Main!U$1,값!$2:$2,0),0)="",NA(),VLOOKUP($A92,값!$A:$W,MATCH(Main!U$1,값!$2:$2,0),0))</f>
        <v>-2.7400000000000001E-2</v>
      </c>
      <c r="V92" s="12">
        <f>IF(VLOOKUP($A92,값!$A:$W,MATCH(Main!V$1,값!$2:$2,0),0)="",NA(),VLOOKUP($A92,값!$A:$W,MATCH(Main!V$1,값!$2:$2,0),0))</f>
        <v>-4.8819663890969922E-2</v>
      </c>
    </row>
    <row r="93" spans="1:22" x14ac:dyDescent="0.2">
      <c r="A93" s="1">
        <v>44926</v>
      </c>
      <c r="B93" s="12">
        <f>IF(VLOOKUP($A93,값!$A:$W,MATCH(Main!B$1,값!$2:$2,0),0)="",NA(),VLOOKUP($A93,값!$A:$W,MATCH(Main!B$1,값!$2:$2,0),0))</f>
        <v>3.6999999999999998E-2</v>
      </c>
      <c r="C93" s="12">
        <f>IF(VLOOKUP($A93,값!$A:$W,MATCH(Main!C$1,값!$2:$2,0),0)="",NA(),VLOOKUP($A93,값!$A:$W,MATCH(Main!C$1,값!$2:$2,0),0))</f>
        <v>-7.7799999999999994E-2</v>
      </c>
      <c r="D93" s="12">
        <f>IF(VLOOKUP($A93,값!$A:$W,MATCH(Main!D$1,값!$2:$2,0),0)="",NA(),VLOOKUP($A93,값!$A:$W,MATCH(Main!D$1,값!$2:$2,0),0))</f>
        <v>-7.7799999999999994E-2</v>
      </c>
      <c r="E93" s="12">
        <f>IF(VLOOKUP($A93,값!$A:$W,MATCH(Main!E$1,값!$2:$2,0),0)="",NA(),VLOOKUP($A93,값!$A:$W,MATCH(Main!E$1,값!$2:$2,0),0))</f>
        <v>1.3899999999999999E-2</v>
      </c>
      <c r="F93" s="12">
        <f>IF(VLOOKUP($A93,값!$A:$W,MATCH(Main!F$1,값!$2:$2,0),0)="",NA(),VLOOKUP($A93,값!$A:$W,MATCH(Main!F$1,값!$2:$2,0),0))</f>
        <v>-1.0699999999999999E-2</v>
      </c>
      <c r="G93" s="12">
        <f>IF(VLOOKUP($A93,값!$A:$W,MATCH(Main!G$1,값!$2:$2,0),0)="",NA(),VLOOKUP($A93,값!$A:$W,MATCH(Main!G$1,값!$2:$2,0),0))</f>
        <v>1.3899999999999999E-2</v>
      </c>
      <c r="H93" s="12">
        <f>IF(VLOOKUP($A93,값!$A:$W,MATCH(Main!H$1,값!$2:$2,0),0)="",NA(),VLOOKUP($A93,값!$A:$W,MATCH(Main!H$1,값!$2:$2,0),0))</f>
        <v>4.1000000000000002E-2</v>
      </c>
      <c r="I93" s="12">
        <f>IF(VLOOKUP($A93,값!$A:$W,MATCH(Main!I$1,값!$2:$2,0),0)="",NA(),VLOOKUP($A93,값!$A:$W,MATCH(Main!I$1,값!$2:$2,0),0))</f>
        <v>3.15E-2</v>
      </c>
      <c r="J93" s="12">
        <f>IF(VLOOKUP($A93,값!$A:$W,MATCH(Main!J$1,값!$2:$2,0),0)="",NA(),VLOOKUP($A93,값!$A:$W,MATCH(Main!J$1,값!$2:$2,0),0))</f>
        <v>1.47E-2</v>
      </c>
      <c r="K93" s="12">
        <f>IF(VLOOKUP($A93,값!$A:$W,MATCH(Main!K$1,값!$2:$2,0),0)="",NA(),VLOOKUP($A93,값!$A:$W,MATCH(Main!K$1,값!$2:$2,0),0))</f>
        <v>1.4497824881458232E-2</v>
      </c>
      <c r="L93" s="12">
        <f>IF(VLOOKUP($A93,값!$A:$W,MATCH(Main!L$1,값!$2:$2,0),0)="",NA(),VLOOKUP($A93,값!$A:$W,MATCH(Main!L$1,값!$2:$2,0),0))</f>
        <v>-4.9176999999999998E-2</v>
      </c>
      <c r="M93" s="12">
        <f>IF(VLOOKUP($A93,값!$A:$W,MATCH(Main!M$1,값!$2:$2,0),0)="",NA(),VLOOKUP($A93,값!$A:$W,MATCH(Main!M$1,값!$2:$2,0),0))</f>
        <v>-1.9E-2</v>
      </c>
      <c r="N93" s="12">
        <f>IF(VLOOKUP($A93,값!$A:$W,MATCH(Main!N$1,값!$2:$2,0),0)="",NA(),VLOOKUP($A93,값!$A:$W,MATCH(Main!N$1,값!$2:$2,0),0))</f>
        <v>-4.9176999999999998E-2</v>
      </c>
      <c r="O93" s="12">
        <f>IF(VLOOKUP($A93,값!$A:$W,MATCH(Main!O$1,값!$2:$2,0),0)="",NA(),VLOOKUP($A93,값!$A:$W,MATCH(Main!O$1,값!$2:$2,0),0))</f>
        <v>1.2200000000000001E-2</v>
      </c>
      <c r="P93" s="12">
        <f>IF(VLOOKUP($A93,값!$A:$W,MATCH(Main!P$1,값!$2:$2,0),0)="",NA(),VLOOKUP($A93,값!$A:$W,MATCH(Main!P$1,값!$2:$2,0),0))</f>
        <v>1.44203E-2</v>
      </c>
      <c r="Q93" s="12">
        <f>IF(VLOOKUP($A93,값!$A:$W,MATCH(Main!Q$1,값!$2:$2,0),0)="",NA(),VLOOKUP($A93,값!$A:$W,MATCH(Main!Q$1,값!$2:$2,0),0))</f>
        <v>7.1069139308191698E-2</v>
      </c>
      <c r="R93" s="12">
        <f>IF(VLOOKUP($A93,값!$A:$W,MATCH(Main!R$1,값!$2:$2,0),0)="",NA(),VLOOKUP($A93,값!$A:$W,MATCH(Main!R$1,값!$2:$2,0),0))</f>
        <v>8.5199999999999998E-2</v>
      </c>
      <c r="S93" s="12">
        <f>IF(VLOOKUP($A93,값!$A:$W,MATCH(Main!S$1,값!$2:$2,0),0)="",NA(),VLOOKUP($A93,값!$A:$W,MATCH(Main!S$1,값!$2:$2,0),0))</f>
        <v>8.5199999999999998E-2</v>
      </c>
      <c r="T93" s="12">
        <f>IF(VLOOKUP($A93,값!$A:$W,MATCH(Main!T$1,값!$2:$2,0),0)="",NA(),VLOOKUP($A93,값!$A:$W,MATCH(Main!T$1,값!$2:$2,0),0))</f>
        <v>8.5199999999999998E-2</v>
      </c>
      <c r="U93" s="12">
        <f>IF(VLOOKUP($A93,값!$A:$W,MATCH(Main!U$1,값!$2:$2,0),0)="",NA(),VLOOKUP($A93,값!$A:$W,MATCH(Main!U$1,값!$2:$2,0),0))</f>
        <v>8.5199999999999998E-2</v>
      </c>
      <c r="V93" s="12">
        <f>IF(VLOOKUP($A93,값!$A:$W,MATCH(Main!V$1,값!$2:$2,0),0)="",NA(),VLOOKUP($A93,값!$A:$W,MATCH(Main!V$1,값!$2:$2,0),0))</f>
        <v>3.5696016279251674E-2</v>
      </c>
    </row>
    <row r="94" spans="1:22" x14ac:dyDescent="0.2">
      <c r="A94" s="1">
        <v>45016</v>
      </c>
      <c r="B94" s="12">
        <f>IF(VLOOKUP($A94,값!$A:$W,MATCH(Main!B$1,값!$2:$2,0),0)="",NA(),VLOOKUP($A94,값!$A:$W,MATCH(Main!B$1,값!$2:$2,0),0))</f>
        <v>3.09E-2</v>
      </c>
      <c r="C94" s="12">
        <f>IF(VLOOKUP($A94,값!$A:$W,MATCH(Main!C$1,값!$2:$2,0),0)="",NA(),VLOOKUP($A94,값!$A:$W,MATCH(Main!C$1,값!$2:$2,0),0))</f>
        <v>2.0000000000000001E-4</v>
      </c>
      <c r="D94" s="12">
        <f>IF(VLOOKUP($A94,값!$A:$W,MATCH(Main!D$1,값!$2:$2,0),0)="",NA(),VLOOKUP($A94,값!$A:$W,MATCH(Main!D$1,값!$2:$2,0),0))</f>
        <v>2.0000000000000001E-4</v>
      </c>
      <c r="E94" s="12">
        <f>IF(VLOOKUP($A94,값!$A:$W,MATCH(Main!E$1,값!$2:$2,0),0)="",NA(),VLOOKUP($A94,값!$A:$W,MATCH(Main!E$1,값!$2:$2,0),0))</f>
        <v>1.5299999999999999E-2</v>
      </c>
      <c r="F94" s="12">
        <f>IF(VLOOKUP($A94,값!$A:$W,MATCH(Main!F$1,값!$2:$2,0),0)="",NA(),VLOOKUP($A94,값!$A:$W,MATCH(Main!F$1,값!$2:$2,0),0))</f>
        <v>1.0999999999999999E-2</v>
      </c>
      <c r="G94" s="12">
        <f>IF(VLOOKUP($A94,값!$A:$W,MATCH(Main!G$1,값!$2:$2,0),0)="",NA(),VLOOKUP($A94,값!$A:$W,MATCH(Main!G$1,값!$2:$2,0),0))</f>
        <v>1.5299999999999999E-2</v>
      </c>
      <c r="H94" s="12">
        <f>IF(VLOOKUP($A94,값!$A:$W,MATCH(Main!H$1,값!$2:$2,0),0)="",NA(),VLOOKUP($A94,값!$A:$W,MATCH(Main!H$1,값!$2:$2,0),0))</f>
        <v>3.3399999999999999E-2</v>
      </c>
      <c r="I94" s="12">
        <f>IF(VLOOKUP($A94,값!$A:$W,MATCH(Main!I$1,값!$2:$2,0),0)="",NA(),VLOOKUP($A94,값!$A:$W,MATCH(Main!I$1,값!$2:$2,0),0))</f>
        <v>2.53E-2</v>
      </c>
      <c r="J94" s="12">
        <f>IF(VLOOKUP($A94,값!$A:$W,MATCH(Main!J$1,값!$2:$2,0),0)="",NA(),VLOOKUP($A94,값!$A:$W,MATCH(Main!J$1,값!$2:$2,0),0))</f>
        <v>1.43E-2</v>
      </c>
      <c r="K94" s="12">
        <f>IF(VLOOKUP($A94,값!$A:$W,MATCH(Main!K$1,값!$2:$2,0),0)="",NA(),VLOOKUP($A94,값!$A:$W,MATCH(Main!K$1,값!$2:$2,0),0))</f>
        <v>9.2011491248824573E-3</v>
      </c>
      <c r="L94" s="12">
        <f>IF(VLOOKUP($A94,값!$A:$W,MATCH(Main!L$1,값!$2:$2,0),0)="",NA(),VLOOKUP($A94,값!$A:$W,MATCH(Main!L$1,값!$2:$2,0),0))</f>
        <v>-2.2526999999999998E-2</v>
      </c>
      <c r="M94" s="12">
        <f>IF(VLOOKUP($A94,값!$A:$W,MATCH(Main!M$1,값!$2:$2,0),0)="",NA(),VLOOKUP($A94,값!$A:$W,MATCH(Main!M$1,값!$2:$2,0),0))</f>
        <v>-6.7000000000000002E-3</v>
      </c>
      <c r="N94" s="12">
        <f>IF(VLOOKUP($A94,값!$A:$W,MATCH(Main!N$1,값!$2:$2,0),0)="",NA(),VLOOKUP($A94,값!$A:$W,MATCH(Main!N$1,값!$2:$2,0),0))</f>
        <v>-2.2526999999999998E-2</v>
      </c>
      <c r="O94" s="12">
        <f>IF(VLOOKUP($A94,값!$A:$W,MATCH(Main!O$1,값!$2:$2,0),0)="",NA(),VLOOKUP($A94,값!$A:$W,MATCH(Main!O$1,값!$2:$2,0),0))</f>
        <v>3.1300000000000001E-2</v>
      </c>
      <c r="P94" s="12">
        <f>IF(VLOOKUP($A94,값!$A:$W,MATCH(Main!P$1,값!$2:$2,0),0)="",NA(),VLOOKUP($A94,값!$A:$W,MATCH(Main!P$1,값!$2:$2,0),0))</f>
        <v>9.9682999999999994E-3</v>
      </c>
      <c r="Q94" s="12">
        <f>IF(VLOOKUP($A94,값!$A:$W,MATCH(Main!Q$1,값!$2:$2,0),0)="",NA(),VLOOKUP($A94,값!$A:$W,MATCH(Main!Q$1,값!$2:$2,0),0))</f>
        <v>1.0358733904959783E-2</v>
      </c>
      <c r="R94" s="12">
        <f>IF(VLOOKUP($A94,값!$A:$W,MATCH(Main!R$1,값!$2:$2,0),0)="",NA(),VLOOKUP($A94,값!$A:$W,MATCH(Main!R$1,값!$2:$2,0),0))</f>
        <v>3.0800000000000001E-2</v>
      </c>
      <c r="S94" s="12">
        <f>IF(VLOOKUP($A94,값!$A:$W,MATCH(Main!S$1,값!$2:$2,0),0)="",NA(),VLOOKUP($A94,값!$A:$W,MATCH(Main!S$1,값!$2:$2,0),0))</f>
        <v>3.0800000000000001E-2</v>
      </c>
      <c r="T94" s="12">
        <f>IF(VLOOKUP($A94,값!$A:$W,MATCH(Main!T$1,값!$2:$2,0),0)="",NA(),VLOOKUP($A94,값!$A:$W,MATCH(Main!T$1,값!$2:$2,0),0))</f>
        <v>3.0800000000000001E-2</v>
      </c>
      <c r="U94" s="12">
        <f>IF(VLOOKUP($A94,값!$A:$W,MATCH(Main!U$1,값!$2:$2,0),0)="",NA(),VLOOKUP($A94,값!$A:$W,MATCH(Main!U$1,값!$2:$2,0),0))</f>
        <v>3.0800000000000001E-2</v>
      </c>
      <c r="V94" s="12">
        <f>IF(VLOOKUP($A94,값!$A:$W,MATCH(Main!V$1,값!$2:$2,0),0)="",NA(),VLOOKUP($A94,값!$A:$W,MATCH(Main!V$1,값!$2:$2,0),0))</f>
        <v>3.8514366412435219E-2</v>
      </c>
    </row>
    <row r="95" spans="1:22" x14ac:dyDescent="0.2">
      <c r="A95" s="1">
        <v>45107</v>
      </c>
      <c r="B95" s="12">
        <f>IF(VLOOKUP($A95,값!$A:$W,MATCH(Main!B$1,값!$2:$2,0),0)="",NA(),VLOOKUP($A95,값!$A:$W,MATCH(Main!B$1,값!$2:$2,0),0))</f>
        <v>2.52E-2</v>
      </c>
      <c r="C95" s="12">
        <f>IF(VLOOKUP($A95,값!$A:$W,MATCH(Main!C$1,값!$2:$2,0),0)="",NA(),VLOOKUP($A95,값!$A:$W,MATCH(Main!C$1,값!$2:$2,0),0))</f>
        <v>4.3E-3</v>
      </c>
      <c r="D95" s="12">
        <f>IF(VLOOKUP($A95,값!$A:$W,MATCH(Main!D$1,값!$2:$2,0),0)="",NA(),VLOOKUP($A95,값!$A:$W,MATCH(Main!D$1,값!$2:$2,0),0))</f>
        <v>4.3E-3</v>
      </c>
      <c r="E95" s="12">
        <f>IF(VLOOKUP($A95,값!$A:$W,MATCH(Main!E$1,값!$2:$2,0),0)="",NA(),VLOOKUP($A95,값!$A:$W,MATCH(Main!E$1,값!$2:$2,0),0))</f>
        <v>1.3299999999999999E-2</v>
      </c>
      <c r="F95" s="12">
        <f>IF(VLOOKUP($A95,값!$A:$W,MATCH(Main!F$1,값!$2:$2,0),0)="",NA(),VLOOKUP($A95,값!$A:$W,MATCH(Main!F$1,값!$2:$2,0),0))</f>
        <v>-5.7000000000000002E-3</v>
      </c>
      <c r="G95" s="12">
        <f>IF(VLOOKUP($A95,값!$A:$W,MATCH(Main!G$1,값!$2:$2,0),0)="",NA(),VLOOKUP($A95,값!$A:$W,MATCH(Main!G$1,값!$2:$2,0),0))</f>
        <v>1.3299999999999999E-2</v>
      </c>
      <c r="H95" s="12">
        <f>IF(VLOOKUP($A95,값!$A:$W,MATCH(Main!H$1,값!$2:$2,0),0)="",NA(),VLOOKUP($A95,값!$A:$W,MATCH(Main!H$1,값!$2:$2,0),0))</f>
        <v>3.2199999999999999E-2</v>
      </c>
      <c r="I95" s="12">
        <f>IF(VLOOKUP($A95,값!$A:$W,MATCH(Main!I$1,값!$2:$2,0),0)="",NA(),VLOOKUP($A95,값!$A:$W,MATCH(Main!I$1,값!$2:$2,0),0))</f>
        <v>2.41E-2</v>
      </c>
      <c r="J95" s="12">
        <f>IF(VLOOKUP($A95,값!$A:$W,MATCH(Main!J$1,값!$2:$2,0),0)="",NA(),VLOOKUP($A95,값!$A:$W,MATCH(Main!J$1,값!$2:$2,0),0))</f>
        <v>-8.0000000000000002E-3</v>
      </c>
      <c r="K95" s="12">
        <f>IF(VLOOKUP($A95,값!$A:$W,MATCH(Main!K$1,값!$2:$2,0),0)="",NA(),VLOOKUP($A95,값!$A:$W,MATCH(Main!K$1,값!$2:$2,0),0))</f>
        <v>1.0502065196594357E-2</v>
      </c>
      <c r="L95" s="12">
        <f>IF(VLOOKUP($A95,값!$A:$W,MATCH(Main!L$1,값!$2:$2,0),0)="",NA(),VLOOKUP($A95,값!$A:$W,MATCH(Main!L$1,값!$2:$2,0),0))</f>
        <v>-2.0174000000000001E-2</v>
      </c>
      <c r="M95" s="12">
        <f>IF(VLOOKUP($A95,값!$A:$W,MATCH(Main!M$1,값!$2:$2,0),0)="",NA(),VLOOKUP($A95,값!$A:$W,MATCH(Main!M$1,값!$2:$2,0),0))</f>
        <v>-1.1900000000000001E-2</v>
      </c>
      <c r="N95" s="12">
        <f>IF(VLOOKUP($A95,값!$A:$W,MATCH(Main!N$1,값!$2:$2,0),0)="",NA(),VLOOKUP($A95,값!$A:$W,MATCH(Main!N$1,값!$2:$2,0),0))</f>
        <v>-2.0174000000000001E-2</v>
      </c>
      <c r="O95" s="12">
        <f>IF(VLOOKUP($A95,값!$A:$W,MATCH(Main!O$1,값!$2:$2,0),0)="",NA(),VLOOKUP($A95,값!$A:$W,MATCH(Main!O$1,값!$2:$2,0),0))</f>
        <v>-7.4000000000000003E-3</v>
      </c>
      <c r="P95" s="12">
        <f>IF(VLOOKUP($A95,값!$A:$W,MATCH(Main!P$1,값!$2:$2,0),0)="",NA(),VLOOKUP($A95,값!$A:$W,MATCH(Main!P$1,값!$2:$2,0),0))</f>
        <v>1.9048200000000001E-2</v>
      </c>
      <c r="Q95" s="12">
        <f>IF(VLOOKUP($A95,값!$A:$W,MATCH(Main!Q$1,값!$2:$2,0),0)="",NA(),VLOOKUP($A95,값!$A:$W,MATCH(Main!Q$1,값!$2:$2,0),0))</f>
        <v>5.4285663317634736E-3</v>
      </c>
      <c r="R95" s="12">
        <f>IF(VLOOKUP($A95,값!$A:$W,MATCH(Main!R$1,값!$2:$2,0),0)="",NA(),VLOOKUP($A95,값!$A:$W,MATCH(Main!R$1,값!$2:$2,0),0))</f>
        <v>1.9300000000000001E-2</v>
      </c>
      <c r="S95" s="12">
        <f>IF(VLOOKUP($A95,값!$A:$W,MATCH(Main!S$1,값!$2:$2,0),0)="",NA(),VLOOKUP($A95,값!$A:$W,MATCH(Main!S$1,값!$2:$2,0),0))</f>
        <v>1.9300000000000001E-2</v>
      </c>
      <c r="T95" s="12">
        <f>IF(VLOOKUP($A95,값!$A:$W,MATCH(Main!T$1,값!$2:$2,0),0)="",NA(),VLOOKUP($A95,값!$A:$W,MATCH(Main!T$1,값!$2:$2,0),0))</f>
        <v>1.9300000000000001E-2</v>
      </c>
      <c r="U95" s="12">
        <f>IF(VLOOKUP($A95,값!$A:$W,MATCH(Main!U$1,값!$2:$2,0),0)="",NA(),VLOOKUP($A95,값!$A:$W,MATCH(Main!U$1,값!$2:$2,0),0))</f>
        <v>1.9300000000000001E-2</v>
      </c>
      <c r="V95" s="12">
        <f>IF(VLOOKUP($A95,값!$A:$W,MATCH(Main!V$1,값!$2:$2,0),0)="",NA(),VLOOKUP($A95,값!$A:$W,MATCH(Main!V$1,값!$2:$2,0),0))</f>
        <v>-4.1674331312971935E-3</v>
      </c>
    </row>
    <row r="96" spans="1:22" x14ac:dyDescent="0.2">
      <c r="A96" s="1">
        <v>45199</v>
      </c>
      <c r="B96" s="12">
        <f>IF(VLOOKUP($A96,값!$A:$W,MATCH(Main!B$1,값!$2:$2,0),0)="",NA(),VLOOKUP($A96,값!$A:$W,MATCH(Main!B$1,값!$2:$2,0),0))</f>
        <v>2.0000000000000001E-4</v>
      </c>
      <c r="C96" s="12">
        <f>IF(VLOOKUP($A96,값!$A:$W,MATCH(Main!C$1,값!$2:$2,0),0)="",NA(),VLOOKUP($A96,값!$A:$W,MATCH(Main!C$1,값!$2:$2,0),0))</f>
        <v>-2.5100000000000001E-2</v>
      </c>
      <c r="D96" s="12">
        <f>IF(VLOOKUP($A96,값!$A:$W,MATCH(Main!D$1,값!$2:$2,0),0)="",NA(),VLOOKUP($A96,값!$A:$W,MATCH(Main!D$1,값!$2:$2,0),0))</f>
        <v>-2.5100000000000001E-2</v>
      </c>
      <c r="E96" s="12">
        <f>IF(VLOOKUP($A96,값!$A:$W,MATCH(Main!E$1,값!$2:$2,0),0)="",NA(),VLOOKUP($A96,값!$A:$W,MATCH(Main!E$1,값!$2:$2,0),0))</f>
        <v>2.8999999999999998E-3</v>
      </c>
      <c r="F96" s="12">
        <f>IF(VLOOKUP($A96,값!$A:$W,MATCH(Main!F$1,값!$2:$2,0),0)="",NA(),VLOOKUP($A96,값!$A:$W,MATCH(Main!F$1,값!$2:$2,0),0))</f>
        <v>-1.5800000000000002E-2</v>
      </c>
      <c r="G96" s="12">
        <f>IF(VLOOKUP($A96,값!$A:$W,MATCH(Main!G$1,값!$2:$2,0),0)="",NA(),VLOOKUP($A96,값!$A:$W,MATCH(Main!G$1,값!$2:$2,0),0))</f>
        <v>2.8999999999999998E-3</v>
      </c>
      <c r="H96" s="12">
        <f>IF(VLOOKUP($A96,값!$A:$W,MATCH(Main!H$1,값!$2:$2,0),0)="",NA(),VLOOKUP($A96,값!$A:$W,MATCH(Main!H$1,값!$2:$2,0),0))</f>
        <v>2.3E-2</v>
      </c>
      <c r="I96" s="12">
        <f>IF(VLOOKUP($A96,값!$A:$W,MATCH(Main!I$1,값!$2:$2,0),0)="",NA(),VLOOKUP($A96,값!$A:$W,MATCH(Main!I$1,값!$2:$2,0),0))</f>
        <v>2.3599999999999999E-2</v>
      </c>
      <c r="J96" s="12">
        <f>IF(VLOOKUP($A96,값!$A:$W,MATCH(Main!J$1,값!$2:$2,0),0)="",NA(),VLOOKUP($A96,값!$A:$W,MATCH(Main!J$1,값!$2:$2,0),0))</f>
        <v>1.4E-3</v>
      </c>
      <c r="K96" s="12">
        <f>IF(VLOOKUP($A96,값!$A:$W,MATCH(Main!K$1,값!$2:$2,0),0)="",NA(),VLOOKUP($A96,값!$A:$W,MATCH(Main!K$1,값!$2:$2,0),0))</f>
        <v>1.4753185687949921E-2</v>
      </c>
      <c r="L96" s="12">
        <f>IF(VLOOKUP($A96,값!$A:$W,MATCH(Main!L$1,값!$2:$2,0),0)="",NA(),VLOOKUP($A96,값!$A:$W,MATCH(Main!L$1,값!$2:$2,0),0))</f>
        <v>-1.6140999999999999E-2</v>
      </c>
      <c r="M96" s="12">
        <f>IF(VLOOKUP($A96,값!$A:$W,MATCH(Main!M$1,값!$2:$2,0),0)="",NA(),VLOOKUP($A96,값!$A:$W,MATCH(Main!M$1,값!$2:$2,0),0))</f>
        <v>-3.04E-2</v>
      </c>
      <c r="N96" s="12">
        <f>IF(VLOOKUP($A96,값!$A:$W,MATCH(Main!N$1,값!$2:$2,0),0)="",NA(),VLOOKUP($A96,값!$A:$W,MATCH(Main!N$1,값!$2:$2,0),0))</f>
        <v>-1.6140999999999999E-2</v>
      </c>
      <c r="O96" s="12">
        <f>IF(VLOOKUP($A96,값!$A:$W,MATCH(Main!O$1,값!$2:$2,0),0)="",NA(),VLOOKUP($A96,값!$A:$W,MATCH(Main!O$1,값!$2:$2,0),0))</f>
        <v>-1.3599999999999999E-2</v>
      </c>
      <c r="P96" s="12">
        <f>IF(VLOOKUP($A96,값!$A:$W,MATCH(Main!P$1,값!$2:$2,0),0)="",NA(),VLOOKUP($A96,값!$A:$W,MATCH(Main!P$1,값!$2:$2,0),0))</f>
        <v>1.1574600000000001E-2</v>
      </c>
      <c r="Q96" s="12">
        <f>IF(VLOOKUP($A96,값!$A:$W,MATCH(Main!Q$1,값!$2:$2,0),0)="",NA(),VLOOKUP($A96,값!$A:$W,MATCH(Main!Q$1,값!$2:$2,0),0))</f>
        <v>-5.5936033858053791E-2</v>
      </c>
      <c r="R96" s="12">
        <f>IF(VLOOKUP($A96,값!$A:$W,MATCH(Main!R$1,값!$2:$2,0),0)="",NA(),VLOOKUP($A96,값!$A:$W,MATCH(Main!R$1,값!$2:$2,0),0))</f>
        <v>-7.6E-3</v>
      </c>
      <c r="S96" s="12">
        <f>IF(VLOOKUP($A96,값!$A:$W,MATCH(Main!S$1,값!$2:$2,0),0)="",NA(),VLOOKUP($A96,값!$A:$W,MATCH(Main!S$1,값!$2:$2,0),0))</f>
        <v>-7.6E-3</v>
      </c>
      <c r="T96" s="12">
        <f>IF(VLOOKUP($A96,값!$A:$W,MATCH(Main!T$1,값!$2:$2,0),0)="",NA(),VLOOKUP($A96,값!$A:$W,MATCH(Main!T$1,값!$2:$2,0),0))</f>
        <v>-7.6E-3</v>
      </c>
      <c r="U96" s="12">
        <f>IF(VLOOKUP($A96,값!$A:$W,MATCH(Main!U$1,값!$2:$2,0),0)="",NA(),VLOOKUP($A96,값!$A:$W,MATCH(Main!U$1,값!$2:$2,0),0))</f>
        <v>-7.6E-3</v>
      </c>
      <c r="V96" s="12">
        <f>IF(VLOOKUP($A96,값!$A:$W,MATCH(Main!V$1,값!$2:$2,0),0)="",NA(),VLOOKUP($A96,값!$A:$W,MATCH(Main!V$1,값!$2:$2,0),0))</f>
        <v>-2.9935376764278709E-2</v>
      </c>
    </row>
    <row r="97" spans="1:22" x14ac:dyDescent="0.2">
      <c r="A97" s="1">
        <v>45291</v>
      </c>
      <c r="B97" s="12">
        <f>IF(VLOOKUP($A97,값!$A:$W,MATCH(Main!B$1,값!$2:$2,0),0)="",NA(),VLOOKUP($A97,값!$A:$W,MATCH(Main!B$1,값!$2:$2,0),0))</f>
        <v>3.6799999999999999E-2</v>
      </c>
      <c r="C97" s="12">
        <f>IF(VLOOKUP($A97,값!$A:$W,MATCH(Main!C$1,값!$2:$2,0),0)="",NA(),VLOOKUP($A97,값!$A:$W,MATCH(Main!C$1,값!$2:$2,0),0))</f>
        <v>1.3599999999999999E-2</v>
      </c>
      <c r="D97" s="12">
        <f>IF(VLOOKUP($A97,값!$A:$W,MATCH(Main!D$1,값!$2:$2,0),0)="",NA(),VLOOKUP($A97,값!$A:$W,MATCH(Main!D$1,값!$2:$2,0),0))</f>
        <v>1.3599999999999999E-2</v>
      </c>
      <c r="E97" s="12">
        <f>IF(VLOOKUP($A97,값!$A:$W,MATCH(Main!E$1,값!$2:$2,0),0)="",NA(),VLOOKUP($A97,값!$A:$W,MATCH(Main!E$1,값!$2:$2,0),0))</f>
        <v>3.3399999999999999E-2</v>
      </c>
      <c r="F97" s="12">
        <f>IF(VLOOKUP($A97,값!$A:$W,MATCH(Main!F$1,값!$2:$2,0),0)="",NA(),VLOOKUP($A97,값!$A:$W,MATCH(Main!F$1,값!$2:$2,0),0))</f>
        <v>1.5299999999999999E-2</v>
      </c>
      <c r="G97" s="12">
        <f>IF(VLOOKUP($A97,값!$A:$W,MATCH(Main!G$1,값!$2:$2,0),0)="",NA(),VLOOKUP($A97,값!$A:$W,MATCH(Main!G$1,값!$2:$2,0),0))</f>
        <v>3.3399999999999999E-2</v>
      </c>
      <c r="H97" s="12">
        <f>IF(VLOOKUP($A97,값!$A:$W,MATCH(Main!H$1,값!$2:$2,0),0)="",NA(),VLOOKUP($A97,값!$A:$W,MATCH(Main!H$1,값!$2:$2,0),0))</f>
        <v>3.9699999999999999E-2</v>
      </c>
      <c r="I97" s="12">
        <f>IF(VLOOKUP($A97,값!$A:$W,MATCH(Main!I$1,값!$2:$2,0),0)="",NA(),VLOOKUP($A97,값!$A:$W,MATCH(Main!I$1,값!$2:$2,0),0))</f>
        <v>3.5700000000000003E-2</v>
      </c>
      <c r="J97" s="12">
        <f>IF(VLOOKUP($A97,값!$A:$W,MATCH(Main!J$1,값!$2:$2,0),0)="",NA(),VLOOKUP($A97,값!$A:$W,MATCH(Main!J$1,값!$2:$2,0),0))</f>
        <v>2.3E-2</v>
      </c>
      <c r="K97" s="12">
        <f>IF(VLOOKUP($A97,값!$A:$W,MATCH(Main!K$1,값!$2:$2,0),0)="",NA(),VLOOKUP($A97,값!$A:$W,MATCH(Main!K$1,값!$2:$2,0),0))</f>
        <v>1.9271719481071869E-2</v>
      </c>
      <c r="L97" s="12">
        <f>IF(VLOOKUP($A97,값!$A:$W,MATCH(Main!L$1,값!$2:$2,0),0)="",NA(),VLOOKUP($A97,값!$A:$W,MATCH(Main!L$1,값!$2:$2,0),0))</f>
        <v>-3.8129999999999997E-2</v>
      </c>
      <c r="M97" s="12">
        <f>IF(VLOOKUP($A97,값!$A:$W,MATCH(Main!M$1,값!$2:$2,0),0)="",NA(),VLOOKUP($A97,값!$A:$W,MATCH(Main!M$1,값!$2:$2,0),0))</f>
        <v>-3.4500000000000003E-2</v>
      </c>
      <c r="N97" s="12">
        <f>IF(VLOOKUP($A97,값!$A:$W,MATCH(Main!N$1,값!$2:$2,0),0)="",NA(),VLOOKUP($A97,값!$A:$W,MATCH(Main!N$1,값!$2:$2,0),0))</f>
        <v>-3.8129999999999997E-2</v>
      </c>
      <c r="O97" s="12">
        <f>IF(VLOOKUP($A97,값!$A:$W,MATCH(Main!O$1,값!$2:$2,0),0)="",NA(),VLOOKUP($A97,값!$A:$W,MATCH(Main!O$1,값!$2:$2,0),0))</f>
        <v>4.5900000000000003E-2</v>
      </c>
      <c r="P97" s="12">
        <f>IF(VLOOKUP($A97,값!$A:$W,MATCH(Main!P$1,값!$2:$2,0),0)="",NA(),VLOOKUP($A97,값!$A:$W,MATCH(Main!P$1,값!$2:$2,0),0))</f>
        <v>1.8045100000000001E-2</v>
      </c>
      <c r="Q97" s="12">
        <f>IF(VLOOKUP($A97,값!$A:$W,MATCH(Main!Q$1,값!$2:$2,0),0)="",NA(),VLOOKUP($A97,값!$A:$W,MATCH(Main!Q$1,값!$2:$2,0),0))</f>
        <v>0.15587079674023263</v>
      </c>
      <c r="R97" s="12">
        <f>IF(VLOOKUP($A97,값!$A:$W,MATCH(Main!R$1,값!$2:$2,0),0)="",NA(),VLOOKUP($A97,값!$A:$W,MATCH(Main!R$1,값!$2:$2,0),0))</f>
        <v>4.4299999999999999E-2</v>
      </c>
      <c r="S97" s="12">
        <f>IF(VLOOKUP($A97,값!$A:$W,MATCH(Main!S$1,값!$2:$2,0),0)="",NA(),VLOOKUP($A97,값!$A:$W,MATCH(Main!S$1,값!$2:$2,0),0))</f>
        <v>4.4299999999999999E-2</v>
      </c>
      <c r="T97" s="12">
        <f>IF(VLOOKUP($A97,값!$A:$W,MATCH(Main!T$1,값!$2:$2,0),0)="",NA(),VLOOKUP($A97,값!$A:$W,MATCH(Main!T$1,값!$2:$2,0),0))</f>
        <v>4.4299999999999999E-2</v>
      </c>
      <c r="U97" s="12">
        <f>IF(VLOOKUP($A97,값!$A:$W,MATCH(Main!U$1,값!$2:$2,0),0)="",NA(),VLOOKUP($A97,값!$A:$W,MATCH(Main!U$1,값!$2:$2,0),0))</f>
        <v>4.4299999999999999E-2</v>
      </c>
      <c r="V97" s="12">
        <f>IF(VLOOKUP($A97,값!$A:$W,MATCH(Main!V$1,값!$2:$2,0),0)="",NA(),VLOOKUP($A97,값!$A:$W,MATCH(Main!V$1,값!$2:$2,0),0))</f>
        <v>9.056117145482756E-2</v>
      </c>
    </row>
    <row r="98" spans="1:22" x14ac:dyDescent="0.2">
      <c r="A98" s="1">
        <v>45382</v>
      </c>
      <c r="B98" s="12">
        <f>IF(VLOOKUP($A98,값!$A:$W,MATCH(Main!B$1,값!$2:$2,0),0)="",NA(),VLOOKUP($A98,값!$A:$W,MATCH(Main!B$1,값!$2:$2,0),0))</f>
        <v>1.1900000000000001E-2</v>
      </c>
      <c r="C98" s="12">
        <f>IF(VLOOKUP($A98,값!$A:$W,MATCH(Main!C$1,값!$2:$2,0),0)="",NA(),VLOOKUP($A98,값!$A:$W,MATCH(Main!C$1,값!$2:$2,0),0))</f>
        <v>1.66E-2</v>
      </c>
      <c r="D98" s="12">
        <f>IF(VLOOKUP($A98,값!$A:$W,MATCH(Main!D$1,값!$2:$2,0),0)="",NA(),VLOOKUP($A98,값!$A:$W,MATCH(Main!D$1,값!$2:$2,0),0))</f>
        <v>1.66E-2</v>
      </c>
      <c r="E98" s="12">
        <f>IF(VLOOKUP($A98,값!$A:$W,MATCH(Main!E$1,값!$2:$2,0),0)="",NA(),VLOOKUP($A98,값!$A:$W,MATCH(Main!E$1,값!$2:$2,0),0))</f>
        <v>1.54E-2</v>
      </c>
      <c r="F98" s="12">
        <f>IF(VLOOKUP($A98,값!$A:$W,MATCH(Main!F$1,값!$2:$2,0),0)="",NA(),VLOOKUP($A98,값!$A:$W,MATCH(Main!F$1,값!$2:$2,0),0))</f>
        <v>6.8999999999999999E-3</v>
      </c>
      <c r="G98" s="12">
        <f>IF(VLOOKUP($A98,값!$A:$W,MATCH(Main!G$1,값!$2:$2,0),0)="",NA(),VLOOKUP($A98,값!$A:$W,MATCH(Main!G$1,값!$2:$2,0),0))</f>
        <v>1.54E-2</v>
      </c>
      <c r="H98" s="12">
        <f>IF(VLOOKUP($A98,값!$A:$W,MATCH(Main!H$1,값!$2:$2,0),0)="",NA(),VLOOKUP($A98,값!$A:$W,MATCH(Main!H$1,값!$2:$2,0),0))</f>
        <v>1.3299999999999999E-2</v>
      </c>
      <c r="I98" s="12">
        <f>IF(VLOOKUP($A98,값!$A:$W,MATCH(Main!I$1,값!$2:$2,0),0)="",NA(),VLOOKUP($A98,값!$A:$W,MATCH(Main!I$1,값!$2:$2,0),0))</f>
        <v>2.18E-2</v>
      </c>
      <c r="J98" s="12">
        <f>IF(VLOOKUP($A98,값!$A:$W,MATCH(Main!J$1,값!$2:$2,0),0)="",NA(),VLOOKUP($A98,값!$A:$W,MATCH(Main!J$1,값!$2:$2,0),0))</f>
        <v>-1.38E-2</v>
      </c>
      <c r="K98" s="12">
        <f>IF(VLOOKUP($A98,값!$A:$W,MATCH(Main!K$1,값!$2:$2,0),0)="",NA(),VLOOKUP($A98,값!$A:$W,MATCH(Main!K$1,값!$2:$2,0),0))</f>
        <v>2.6029790621900917E-2</v>
      </c>
      <c r="L98" s="12">
        <f>IF(VLOOKUP($A98,값!$A:$W,MATCH(Main!L$1,값!$2:$2,0),0)="",NA(),VLOOKUP($A98,값!$A:$W,MATCH(Main!L$1,값!$2:$2,0),0))</f>
        <v>-1.5876000000000001E-2</v>
      </c>
      <c r="M98" s="12">
        <f>IF(VLOOKUP($A98,값!$A:$W,MATCH(Main!M$1,값!$2:$2,0),0)="",NA(),VLOOKUP($A98,값!$A:$W,MATCH(Main!M$1,값!$2:$2,0),0))</f>
        <v>-1.2E-2</v>
      </c>
      <c r="N98" s="12">
        <f>IF(VLOOKUP($A98,값!$A:$W,MATCH(Main!N$1,값!$2:$2,0),0)="",NA(),VLOOKUP($A98,값!$A:$W,MATCH(Main!N$1,값!$2:$2,0),0))</f>
        <v>-1.5876000000000001E-2</v>
      </c>
      <c r="O98" s="12">
        <f>IF(VLOOKUP($A98,값!$A:$W,MATCH(Main!O$1,값!$2:$2,0),0)="",NA(),VLOOKUP($A98,값!$A:$W,MATCH(Main!O$1,값!$2:$2,0),0))</f>
        <v>2.8999999999999998E-3</v>
      </c>
      <c r="P98" s="12">
        <f>IF(VLOOKUP($A98,값!$A:$W,MATCH(Main!P$1,값!$2:$2,0),0)="",NA(),VLOOKUP($A98,값!$A:$W,MATCH(Main!P$1,값!$2:$2,0),0))</f>
        <v>1.6846099999999999E-2</v>
      </c>
      <c r="Q98" s="12">
        <f>IF(VLOOKUP($A98,값!$A:$W,MATCH(Main!Q$1,값!$2:$2,0),0)="",NA(),VLOOKUP($A98,값!$A:$W,MATCH(Main!Q$1,값!$2:$2,0),0))</f>
        <v>-1.04712252415744E-2</v>
      </c>
      <c r="R98" s="12">
        <f>IF(VLOOKUP($A98,값!$A:$W,MATCH(Main!R$1,값!$2:$2,0),0)="",NA(),VLOOKUP($A98,값!$A:$W,MATCH(Main!R$1,값!$2:$2,0),0))</f>
        <v>-4.8999999999999998E-3</v>
      </c>
      <c r="S98" s="12">
        <f>IF(VLOOKUP($A98,값!$A:$W,MATCH(Main!S$1,값!$2:$2,0),0)="",NA(),VLOOKUP($A98,값!$A:$W,MATCH(Main!S$1,값!$2:$2,0),0))</f>
        <v>-4.8999999999999998E-3</v>
      </c>
      <c r="T98" s="12">
        <f>IF(VLOOKUP($A98,값!$A:$W,MATCH(Main!T$1,값!$2:$2,0),0)="",NA(),VLOOKUP($A98,값!$A:$W,MATCH(Main!T$1,값!$2:$2,0),0))</f>
        <v>-4.8999999999999998E-3</v>
      </c>
      <c r="U98" s="12">
        <f>IF(VLOOKUP($A98,값!$A:$W,MATCH(Main!U$1,값!$2:$2,0),0)="",NA(),VLOOKUP($A98,값!$A:$W,MATCH(Main!U$1,값!$2:$2,0),0))</f>
        <v>-4.8999999999999998E-3</v>
      </c>
      <c r="V98" s="12">
        <f>IF(VLOOKUP($A98,값!$A:$W,MATCH(Main!V$1,값!$2:$2,0),0)="",NA(),VLOOKUP($A98,값!$A:$W,MATCH(Main!V$1,값!$2:$2,0),0))</f>
        <v>-5.9079689616130526E-3</v>
      </c>
    </row>
    <row r="99" spans="1:22" x14ac:dyDescent="0.2">
      <c r="A99" s="1">
        <v>45473</v>
      </c>
      <c r="B99" s="12">
        <f>IF(VLOOKUP($A99,값!$A:$W,MATCH(Main!B$1,값!$2:$2,0),0)="",NA(),VLOOKUP($A99,값!$A:$W,MATCH(Main!B$1,값!$2:$2,0),0))</f>
        <v>1.37E-2</v>
      </c>
      <c r="C99" s="12">
        <f>IF(VLOOKUP($A99,값!$A:$W,MATCH(Main!C$1,값!$2:$2,0),0)="",NA(),VLOOKUP($A99,값!$A:$W,MATCH(Main!C$1,값!$2:$2,0),0))</f>
        <v>4.3E-3</v>
      </c>
      <c r="D99" s="12">
        <f>IF(VLOOKUP($A99,값!$A:$W,MATCH(Main!D$1,값!$2:$2,0),0)="",NA(),VLOOKUP($A99,값!$A:$W,MATCH(Main!D$1,값!$2:$2,0),0))</f>
        <v>4.3E-3</v>
      </c>
      <c r="E99" s="12">
        <f>IF(VLOOKUP($A99,값!$A:$W,MATCH(Main!E$1,값!$2:$2,0),0)="",NA(),VLOOKUP($A99,값!$A:$W,MATCH(Main!E$1,값!$2:$2,0),0))</f>
        <v>6.8999999999999999E-3</v>
      </c>
      <c r="F99" s="12">
        <f>IF(VLOOKUP($A99,값!$A:$W,MATCH(Main!F$1,값!$2:$2,0),0)="",NA(),VLOOKUP($A99,값!$A:$W,MATCH(Main!F$1,값!$2:$2,0),0))</f>
        <v>-2.8999999999999998E-3</v>
      </c>
      <c r="G99" s="12">
        <f>IF(VLOOKUP($A99,값!$A:$W,MATCH(Main!G$1,값!$2:$2,0),0)="",NA(),VLOOKUP($A99,값!$A:$W,MATCH(Main!G$1,값!$2:$2,0),0))</f>
        <v>6.8999999999999999E-3</v>
      </c>
      <c r="H99" s="12">
        <f>IF(VLOOKUP($A99,값!$A:$W,MATCH(Main!H$1,값!$2:$2,0),0)="",NA(),VLOOKUP($A99,값!$A:$W,MATCH(Main!H$1,값!$2:$2,0),0))</f>
        <v>2.76E-2</v>
      </c>
      <c r="I99" s="12">
        <f>IF(VLOOKUP($A99,값!$A:$W,MATCH(Main!I$1,값!$2:$2,0),0)="",NA(),VLOOKUP($A99,값!$A:$W,MATCH(Main!I$1,값!$2:$2,0),0))</f>
        <v>1.6500000000000001E-2</v>
      </c>
      <c r="J99" s="12">
        <f>IF(VLOOKUP($A99,값!$A:$W,MATCH(Main!J$1,값!$2:$2,0),0)="",NA(),VLOOKUP($A99,값!$A:$W,MATCH(Main!J$1,값!$2:$2,0),0))</f>
        <v>3.0999999999999999E-3</v>
      </c>
      <c r="K99" s="12">
        <f>IF(VLOOKUP($A99,값!$A:$W,MATCH(Main!K$1,값!$2:$2,0),0)="",NA(),VLOOKUP($A99,값!$A:$W,MATCH(Main!K$1,값!$2:$2,0),0))</f>
        <v>7.8681598651715312E-3</v>
      </c>
      <c r="L99" s="12">
        <f>IF(VLOOKUP($A99,값!$A:$W,MATCH(Main!L$1,값!$2:$2,0),0)="",NA(),VLOOKUP($A99,값!$A:$W,MATCH(Main!L$1,값!$2:$2,0),0))</f>
        <v>-7.744E-3</v>
      </c>
      <c r="M99" s="12">
        <f>IF(VLOOKUP($A99,값!$A:$W,MATCH(Main!M$1,값!$2:$2,0),0)="",NA(),VLOOKUP($A99,값!$A:$W,MATCH(Main!M$1,값!$2:$2,0),0))</f>
        <v>-7.1999999999999998E-3</v>
      </c>
      <c r="N99" s="12">
        <f>IF(VLOOKUP($A99,값!$A:$W,MATCH(Main!N$1,값!$2:$2,0),0)="",NA(),VLOOKUP($A99,값!$A:$W,MATCH(Main!N$1,값!$2:$2,0),0))</f>
        <v>-7.744E-3</v>
      </c>
      <c r="O99" s="12">
        <f>IF(VLOOKUP($A99,값!$A:$W,MATCH(Main!O$1,값!$2:$2,0),0)="",NA(),VLOOKUP($A99,값!$A:$W,MATCH(Main!O$1,값!$2:$2,0),0))</f>
        <v>1.0959E-2</v>
      </c>
      <c r="P99" s="12">
        <f>IF(VLOOKUP($A99,값!$A:$W,MATCH(Main!P$1,값!$2:$2,0),0)="",NA(),VLOOKUP($A99,값!$A:$W,MATCH(Main!P$1,값!$2:$2,0),0))</f>
        <v>1.82224E-2</v>
      </c>
      <c r="Q99" s="12">
        <f>IF(VLOOKUP($A99,값!$A:$W,MATCH(Main!Q$1,값!$2:$2,0),0)="",NA(),VLOOKUP($A99,값!$A:$W,MATCH(Main!Q$1,값!$2:$2,0),0))</f>
        <v>-2.1485802606664439E-2</v>
      </c>
      <c r="R99" s="12">
        <f>IF(VLOOKUP($A99,값!$A:$W,MATCH(Main!R$1,값!$2:$2,0),0)="",NA(),VLOOKUP($A99,값!$A:$W,MATCH(Main!R$1,값!$2:$2,0),0))</f>
        <v>1.09E-2</v>
      </c>
      <c r="S99" s="12">
        <f>IF(VLOOKUP($A99,값!$A:$W,MATCH(Main!S$1,값!$2:$2,0),0)="",NA(),VLOOKUP($A99,값!$A:$W,MATCH(Main!S$1,값!$2:$2,0),0))</f>
        <v>1.09E-2</v>
      </c>
      <c r="T99" s="12">
        <f>IF(VLOOKUP($A99,값!$A:$W,MATCH(Main!T$1,값!$2:$2,0),0)="",NA(),VLOOKUP($A99,값!$A:$W,MATCH(Main!T$1,값!$2:$2,0),0))</f>
        <v>1.09E-2</v>
      </c>
      <c r="U99" s="12">
        <f>IF(VLOOKUP($A99,값!$A:$W,MATCH(Main!U$1,값!$2:$2,0),0)="",NA(),VLOOKUP($A99,값!$A:$W,MATCH(Main!U$1,값!$2:$2,0),0))</f>
        <v>1.09E-2</v>
      </c>
      <c r="V99" s="12">
        <f>IF(VLOOKUP($A99,값!$A:$W,MATCH(Main!V$1,값!$2:$2,0),0)="",NA(),VLOOKUP($A99,값!$A:$W,MATCH(Main!V$1,값!$2:$2,0),0))</f>
        <v>-1.2778845924027449E-3</v>
      </c>
    </row>
    <row r="100" spans="1:22" x14ac:dyDescent="0.2">
      <c r="A100" s="1">
        <v>45565</v>
      </c>
      <c r="B100" s="12">
        <f>IF(VLOOKUP($A100,값!$A:$W,MATCH(Main!B$1,값!$2:$2,0),0)="",NA(),VLOOKUP($A100,값!$A:$W,MATCH(Main!B$1,값!$2:$2,0),0))</f>
        <v>3.0099999999999998E-2</v>
      </c>
      <c r="C100" s="12">
        <f>IF(VLOOKUP($A100,값!$A:$W,MATCH(Main!C$1,값!$2:$2,0),0)="",NA(),VLOOKUP($A100,값!$A:$W,MATCH(Main!C$1,값!$2:$2,0),0))</f>
        <v>2.46E-2</v>
      </c>
      <c r="D100" s="12">
        <f>IF(VLOOKUP($A100,값!$A:$W,MATCH(Main!D$1,값!$2:$2,0),0)="",NA(),VLOOKUP($A100,값!$A:$W,MATCH(Main!D$1,값!$2:$2,0),0))</f>
        <v>2.46E-2</v>
      </c>
      <c r="E100" s="12">
        <f>IF(VLOOKUP($A100,값!$A:$W,MATCH(Main!E$1,값!$2:$2,0),0)="",NA(),VLOOKUP($A100,값!$A:$W,MATCH(Main!E$1,값!$2:$2,0),0))</f>
        <v>1.9099999999999999E-2</v>
      </c>
      <c r="F100" s="12">
        <f>IF(VLOOKUP($A100,값!$A:$W,MATCH(Main!F$1,값!$2:$2,0),0)="",NA(),VLOOKUP($A100,값!$A:$W,MATCH(Main!F$1,값!$2:$2,0),0))</f>
        <v>1.8100000000000002E-2</v>
      </c>
      <c r="G100" s="12">
        <f>IF(VLOOKUP($A100,값!$A:$W,MATCH(Main!G$1,값!$2:$2,0),0)="",NA(),VLOOKUP($A100,값!$A:$W,MATCH(Main!G$1,값!$2:$2,0),0))</f>
        <v>1.9099999999999999E-2</v>
      </c>
      <c r="H100" s="12">
        <f>IF(VLOOKUP($A100,값!$A:$W,MATCH(Main!H$1,값!$2:$2,0),0)="",NA(),VLOOKUP($A100,값!$A:$W,MATCH(Main!H$1,값!$2:$2,0),0))</f>
        <v>3.3500000000000002E-2</v>
      </c>
      <c r="I100" s="12">
        <f>IF(VLOOKUP($A100,값!$A:$W,MATCH(Main!I$1,값!$2:$2,0),0)="",NA(),VLOOKUP($A100,값!$A:$W,MATCH(Main!I$1,값!$2:$2,0),0))</f>
        <v>2.5600000000000001E-2</v>
      </c>
      <c r="J100" s="12">
        <f>IF(VLOOKUP($A100,값!$A:$W,MATCH(Main!J$1,값!$2:$2,0),0)="",NA(),VLOOKUP($A100,값!$A:$W,MATCH(Main!J$1,값!$2:$2,0),0))</f>
        <v>3.3099999999999997E-2</v>
      </c>
      <c r="K100" s="12">
        <f>IF(VLOOKUP($A100,값!$A:$W,MATCH(Main!K$1,값!$2:$2,0),0)="",NA(),VLOOKUP($A100,값!$A:$W,MATCH(Main!K$1,값!$2:$2,0),0))</f>
        <v>1.5707736414075413E-2</v>
      </c>
      <c r="L100" s="12">
        <f>IF(VLOOKUP($A100,값!$A:$W,MATCH(Main!L$1,값!$2:$2,0),0)="",NA(),VLOOKUP($A100,값!$A:$W,MATCH(Main!L$1,값!$2:$2,0),0))</f>
        <v>2.6640000000000001E-3</v>
      </c>
      <c r="M100" s="12">
        <f>IF(VLOOKUP($A100,값!$A:$W,MATCH(Main!M$1,값!$2:$2,0),0)="",NA(),VLOOKUP($A100,값!$A:$W,MATCH(Main!M$1,값!$2:$2,0),0))</f>
        <v>3.0999999999999999E-3</v>
      </c>
      <c r="N100" s="12">
        <f>IF(VLOOKUP($A100,값!$A:$W,MATCH(Main!N$1,값!$2:$2,0),0)="",NA(),VLOOKUP($A100,값!$A:$W,MATCH(Main!N$1,값!$2:$2,0),0))</f>
        <v>2.6640000000000001E-3</v>
      </c>
      <c r="O100" s="12">
        <f>IF(VLOOKUP($A100,값!$A:$W,MATCH(Main!O$1,값!$2:$2,0),0)="",NA(),VLOOKUP($A100,값!$A:$W,MATCH(Main!O$1,값!$2:$2,0),0))</f>
        <v>4.6344000000000003E-2</v>
      </c>
      <c r="P100" s="12">
        <f>IF(VLOOKUP($A100,값!$A:$W,MATCH(Main!P$1,값!$2:$2,0),0)="",NA(),VLOOKUP($A100,값!$A:$W,MATCH(Main!P$1,값!$2:$2,0),0))</f>
        <v>3.2141000000000001E-3</v>
      </c>
      <c r="Q100" s="12">
        <f>IF(VLOOKUP($A100,값!$A:$W,MATCH(Main!Q$1,값!$2:$2,0),0)="",NA(),VLOOKUP($A100,값!$A:$W,MATCH(Main!Q$1,값!$2:$2,0),0))</f>
        <v>0.16334378786155246</v>
      </c>
      <c r="R100" s="12">
        <f>IF(VLOOKUP($A100,값!$A:$W,MATCH(Main!R$1,값!$2:$2,0),0)="",NA(),VLOOKUP($A100,값!$A:$W,MATCH(Main!R$1,값!$2:$2,0),0))</f>
        <v>5.6399999999999999E-2</v>
      </c>
      <c r="S100" s="12">
        <f>IF(VLOOKUP($A100,값!$A:$W,MATCH(Main!S$1,값!$2:$2,0),0)="",NA(),VLOOKUP($A100,값!$A:$W,MATCH(Main!S$1,값!$2:$2,0),0))</f>
        <v>5.6399999999999999E-2</v>
      </c>
      <c r="T100" s="12">
        <f>IF(VLOOKUP($A100,값!$A:$W,MATCH(Main!T$1,값!$2:$2,0),0)="",NA(),VLOOKUP($A100,값!$A:$W,MATCH(Main!T$1,값!$2:$2,0),0))</f>
        <v>5.6399999999999999E-2</v>
      </c>
      <c r="U100" s="12">
        <f>IF(VLOOKUP($A100,값!$A:$W,MATCH(Main!U$1,값!$2:$2,0),0)="",NA(),VLOOKUP($A100,값!$A:$W,MATCH(Main!U$1,값!$2:$2,0),0))</f>
        <v>5.6399999999999999E-2</v>
      </c>
      <c r="V100" s="12">
        <f>IF(VLOOKUP($A100,값!$A:$W,MATCH(Main!V$1,값!$2:$2,0),0)="",NA(),VLOOKUP($A100,값!$A:$W,MATCH(Main!V$1,값!$2:$2,0),0))</f>
        <v>6.4048892233165455E-2</v>
      </c>
    </row>
    <row r="101" spans="1:22" x14ac:dyDescent="0.2">
      <c r="A101" s="1">
        <v>45657</v>
      </c>
      <c r="B101" s="12">
        <f>IF(VLOOKUP($A101,값!$A:$W,MATCH(Main!B$1,값!$2:$2,0),0)="",NA(),VLOOKUP($A101,값!$A:$W,MATCH(Main!B$1,값!$2:$2,0),0))</f>
        <v>5.0000000000000001E-3</v>
      </c>
      <c r="C101" s="12">
        <f>IF(VLOOKUP($A101,값!$A:$W,MATCH(Main!C$1,값!$2:$2,0),0)="",NA(),VLOOKUP($A101,값!$A:$W,MATCH(Main!C$1,값!$2:$2,0),0))</f>
        <v>4.02E-2</v>
      </c>
      <c r="D101" s="12">
        <f>IF(VLOOKUP($A101,값!$A:$W,MATCH(Main!D$1,값!$2:$2,0),0)="",NA(),VLOOKUP($A101,값!$A:$W,MATCH(Main!D$1,값!$2:$2,0),0))</f>
        <v>4.02E-2</v>
      </c>
      <c r="E101" s="12">
        <f>IF(VLOOKUP($A101,값!$A:$W,MATCH(Main!E$1,값!$2:$2,0),0)="",NA(),VLOOKUP($A101,값!$A:$W,MATCH(Main!E$1,값!$2:$2,0),0))</f>
        <v>6.3E-3</v>
      </c>
      <c r="F101" s="12">
        <f>IF(VLOOKUP($A101,값!$A:$W,MATCH(Main!F$1,값!$2:$2,0),0)="",NA(),VLOOKUP($A101,값!$A:$W,MATCH(Main!F$1,값!$2:$2,0),0))</f>
        <v>4.1999999999999997E-3</v>
      </c>
      <c r="G101" s="12">
        <f>IF(VLOOKUP($A101,값!$A:$W,MATCH(Main!G$1,값!$2:$2,0),0)="",NA(),VLOOKUP($A101,값!$A:$W,MATCH(Main!G$1,값!$2:$2,0),0))</f>
        <v>6.3E-3</v>
      </c>
      <c r="H101" s="12">
        <f>IF(VLOOKUP($A101,값!$A:$W,MATCH(Main!H$1,값!$2:$2,0),0)="",NA(),VLOOKUP($A101,값!$A:$W,MATCH(Main!H$1,값!$2:$2,0),0))</f>
        <v>-4.0000000000000001E-3</v>
      </c>
      <c r="I101" s="12">
        <f>IF(VLOOKUP($A101,값!$A:$W,MATCH(Main!I$1,값!$2:$2,0),0)="",NA(),VLOOKUP($A101,값!$A:$W,MATCH(Main!I$1,값!$2:$2,0),0))</f>
        <v>1.1299999999999999E-2</v>
      </c>
      <c r="J101" s="12">
        <f>IF(VLOOKUP($A101,값!$A:$W,MATCH(Main!J$1,값!$2:$2,0),0)="",NA(),VLOOKUP($A101,값!$A:$W,MATCH(Main!J$1,값!$2:$2,0),0))</f>
        <v>-6.4000000000000003E-3</v>
      </c>
      <c r="K101" s="12">
        <f>IF(VLOOKUP($A101,값!$A:$W,MATCH(Main!K$1,값!$2:$2,0),0)="",NA(),VLOOKUP($A101,값!$A:$W,MATCH(Main!K$1,값!$2:$2,0),0))</f>
        <v>1.2765312221080682E-2</v>
      </c>
      <c r="L101" s="12">
        <f>IF(VLOOKUP($A101,값!$A:$W,MATCH(Main!L$1,값!$2:$2,0),0)="",NA(),VLOOKUP($A101,값!$A:$W,MATCH(Main!L$1,값!$2:$2,0),0))</f>
        <v>7.8429999999999993E-3</v>
      </c>
      <c r="M101" s="12">
        <f>IF(VLOOKUP($A101,값!$A:$W,MATCH(Main!M$1,값!$2:$2,0),0)="",NA(),VLOOKUP($A101,값!$A:$W,MATCH(Main!M$1,값!$2:$2,0),0))</f>
        <v>-2.3900000000000001E-2</v>
      </c>
      <c r="N101" s="12">
        <f>IF(VLOOKUP($A101,값!$A:$W,MATCH(Main!N$1,값!$2:$2,0),0)="",NA(),VLOOKUP($A101,값!$A:$W,MATCH(Main!N$1,값!$2:$2,0),0))</f>
        <v>7.8429999999999993E-3</v>
      </c>
      <c r="O101" s="12">
        <f>IF(VLOOKUP($A101,값!$A:$W,MATCH(Main!O$1,값!$2:$2,0),0)="",NA(),VLOOKUP($A101,값!$A:$W,MATCH(Main!O$1,값!$2:$2,0),0))</f>
        <v>-1.0506E-2</v>
      </c>
      <c r="P101" s="12">
        <f>IF(VLOOKUP($A101,값!$A:$W,MATCH(Main!P$1,값!$2:$2,0),0)="",NA(),VLOOKUP($A101,값!$A:$W,MATCH(Main!P$1,값!$2:$2,0),0))</f>
        <v>2.92064E-2</v>
      </c>
      <c r="Q101" s="12">
        <f>IF(VLOOKUP($A101,값!$A:$W,MATCH(Main!Q$1,값!$2:$2,0),0)="",NA(),VLOOKUP($A101,값!$A:$W,MATCH(Main!Q$1,값!$2:$2,0),0))</f>
        <v>-9.4520148653279845E-2</v>
      </c>
      <c r="R101" s="12">
        <f>IF(VLOOKUP($A101,값!$A:$W,MATCH(Main!R$1,값!$2:$2,0),0)="",NA(),VLOOKUP($A101,값!$A:$W,MATCH(Main!R$1,값!$2:$2,0),0))</f>
        <v>-3.1399999999999997E-2</v>
      </c>
      <c r="S101" s="12">
        <f>IF(VLOOKUP($A101,값!$A:$W,MATCH(Main!S$1,값!$2:$2,0),0)="",NA(),VLOOKUP($A101,값!$A:$W,MATCH(Main!S$1,값!$2:$2,0),0))</f>
        <v>-3.1399999999999997E-2</v>
      </c>
      <c r="T101" s="12">
        <f>IF(VLOOKUP($A101,값!$A:$W,MATCH(Main!T$1,값!$2:$2,0),0)="",NA(),VLOOKUP($A101,값!$A:$W,MATCH(Main!T$1,값!$2:$2,0),0))</f>
        <v>-3.1399999999999997E-2</v>
      </c>
      <c r="U101" s="12">
        <f>IF(VLOOKUP($A101,값!$A:$W,MATCH(Main!U$1,값!$2:$2,0),0)="",NA(),VLOOKUP($A101,값!$A:$W,MATCH(Main!U$1,값!$2:$2,0),0))</f>
        <v>-3.1399999999999997E-2</v>
      </c>
      <c r="V101" s="12">
        <f>IF(VLOOKUP($A101,값!$A:$W,MATCH(Main!V$1,값!$2:$2,0),0)="",NA(),VLOOKUP($A101,값!$A:$W,MATCH(Main!V$1,값!$2:$2,0),0))</f>
        <v>-2.9153453018517683E-2</v>
      </c>
    </row>
    <row r="102" spans="1:22" x14ac:dyDescent="0.2">
      <c r="A102" s="1">
        <v>45747</v>
      </c>
      <c r="B102" s="12">
        <f>IF(VLOOKUP($A102,값!$A:$W,MATCH(Main!B$1,값!$2:$2,0),0)="",NA(),VLOOKUP($A102,값!$A:$W,MATCH(Main!B$1,값!$2:$2,0),0))</f>
        <v>1.7999999999999999E-2</v>
      </c>
      <c r="C102" s="12">
        <f>IF(VLOOKUP($A102,값!$A:$W,MATCH(Main!C$1,값!$2:$2,0),0)="",NA(),VLOOKUP($A102,값!$A:$W,MATCH(Main!C$1,값!$2:$2,0),0))</f>
        <v>3.3300000000000003E-2</v>
      </c>
      <c r="D102" s="12">
        <f>IF(VLOOKUP($A102,값!$A:$W,MATCH(Main!D$1,값!$2:$2,0),0)="",NA(),VLOOKUP($A102,값!$A:$W,MATCH(Main!D$1,값!$2:$2,0),0))</f>
        <v>3.3300000000000003E-2</v>
      </c>
      <c r="E102" s="12">
        <f>IF(VLOOKUP($A102,값!$A:$W,MATCH(Main!E$1,값!$2:$2,0),0)="",NA(),VLOOKUP($A102,값!$A:$W,MATCH(Main!E$1,값!$2:$2,0),0))</f>
        <v>1.21E-2</v>
      </c>
      <c r="F102" s="12">
        <f>IF(VLOOKUP($A102,값!$A:$W,MATCH(Main!F$1,값!$2:$2,0),0)="",NA(),VLOOKUP($A102,값!$A:$W,MATCH(Main!F$1,값!$2:$2,0),0))</f>
        <v>1.4E-2</v>
      </c>
      <c r="G102" s="12">
        <f>IF(VLOOKUP($A102,값!$A:$W,MATCH(Main!G$1,값!$2:$2,0),0)="",NA(),VLOOKUP($A102,값!$A:$W,MATCH(Main!G$1,값!$2:$2,0),0))</f>
        <v>1.21E-2</v>
      </c>
      <c r="H102" s="12">
        <f>IF(VLOOKUP($A102,값!$A:$W,MATCH(Main!H$1,값!$2:$2,0),0)="",NA(),VLOOKUP($A102,값!$A:$W,MATCH(Main!H$1,값!$2:$2,0),0))</f>
        <v>3.1699999999999999E-2</v>
      </c>
      <c r="I102" s="12">
        <f>IF(VLOOKUP($A102,값!$A:$W,MATCH(Main!I$1,값!$2:$2,0),0)="",NA(),VLOOKUP($A102,값!$A:$W,MATCH(Main!I$1,값!$2:$2,0),0))</f>
        <v>1.7100000000000001E-2</v>
      </c>
      <c r="J102" s="12">
        <f>IF(VLOOKUP($A102,값!$A:$W,MATCH(Main!J$1,값!$2:$2,0),0)="",NA(),VLOOKUP($A102,값!$A:$W,MATCH(Main!J$1,값!$2:$2,0),0))</f>
        <v>1.6E-2</v>
      </c>
      <c r="K102" s="12">
        <f>IF(VLOOKUP($A102,값!$A:$W,MATCH(Main!K$1,값!$2:$2,0),0)="",NA(),VLOOKUP($A102,값!$A:$W,MATCH(Main!K$1,값!$2:$2,0),0))</f>
        <v>7.3030261655120388E-3</v>
      </c>
      <c r="L102" s="12" t="e">
        <f>IF(VLOOKUP($A102,값!$A:$W,MATCH(Main!L$1,값!$2:$2,0),0)="",NA(),VLOOKUP($A102,값!$A:$W,MATCH(Main!L$1,값!$2:$2,0),0))</f>
        <v>#N/A</v>
      </c>
      <c r="M102" s="12">
        <f>IF(VLOOKUP($A102,값!$A:$W,MATCH(Main!M$1,값!$2:$2,0),0)="",NA(),VLOOKUP($A102,값!$A:$W,MATCH(Main!M$1,값!$2:$2,0),0))</f>
        <v>7.4000000000000003E-3</v>
      </c>
      <c r="N102" s="12" t="e">
        <f>IF(VLOOKUP($A102,값!$A:$W,MATCH(Main!N$1,값!$2:$2,0),0)="",NA(),VLOOKUP($A102,값!$A:$W,MATCH(Main!N$1,값!$2:$2,0),0))</f>
        <v>#N/A</v>
      </c>
      <c r="O102" s="12">
        <f>IF(VLOOKUP($A102,값!$A:$W,MATCH(Main!O$1,값!$2:$2,0),0)="",NA(),VLOOKUP($A102,값!$A:$W,MATCH(Main!O$1,값!$2:$2,0),0))</f>
        <v>3.2300000000000002E-2</v>
      </c>
      <c r="P102" s="12">
        <f>IF(VLOOKUP($A102,값!$A:$W,MATCH(Main!P$1,값!$2:$2,0),0)="",NA(),VLOOKUP($A102,값!$A:$W,MATCH(Main!P$1,값!$2:$2,0),0))</f>
        <v>1.10708E-2</v>
      </c>
      <c r="Q102" s="12">
        <f>IF(VLOOKUP($A102,값!$A:$W,MATCH(Main!Q$1,값!$2:$2,0),0)="",NA(),VLOOKUP($A102,값!$A:$W,MATCH(Main!Q$1,값!$2:$2,0),0))</f>
        <v>1.8545826850421721E-2</v>
      </c>
      <c r="R102" s="12">
        <f>IF(VLOOKUP($A102,값!$A:$W,MATCH(Main!R$1,값!$2:$2,0),0)="",NA(),VLOOKUP($A102,값!$A:$W,MATCH(Main!R$1,값!$2:$2,0),0))</f>
        <v>3.0700000000000002E-2</v>
      </c>
      <c r="S102" s="12">
        <f>IF(VLOOKUP($A102,값!$A:$W,MATCH(Main!S$1,값!$2:$2,0),0)="",NA(),VLOOKUP($A102,값!$A:$W,MATCH(Main!S$1,값!$2:$2,0),0))</f>
        <v>3.0700000000000002E-2</v>
      </c>
      <c r="T102" s="12">
        <f>IF(VLOOKUP($A102,값!$A:$W,MATCH(Main!T$1,값!$2:$2,0),0)="",NA(),VLOOKUP($A102,값!$A:$W,MATCH(Main!T$1,값!$2:$2,0),0))</f>
        <v>3.0700000000000002E-2</v>
      </c>
      <c r="U102" s="12">
        <f>IF(VLOOKUP($A102,값!$A:$W,MATCH(Main!U$1,값!$2:$2,0),0)="",NA(),VLOOKUP($A102,값!$A:$W,MATCH(Main!U$1,값!$2:$2,0),0))</f>
        <v>3.0700000000000002E-2</v>
      </c>
      <c r="V102" s="12">
        <f>IF(VLOOKUP($A102,값!$A:$W,MATCH(Main!V$1,값!$2:$2,0),0)="",NA(),VLOOKUP($A102,값!$A:$W,MATCH(Main!V$1,값!$2:$2,0),0))</f>
        <v>1.9242912065651208E-2</v>
      </c>
    </row>
    <row r="103" spans="1:22" x14ac:dyDescent="0.2">
      <c r="A103" s="1">
        <v>45838</v>
      </c>
      <c r="B103" s="12">
        <f>IF(VLOOKUP($A103,값!$A:$W,MATCH(Main!B$1,값!$2:$2,0),0)="",NA(),VLOOKUP($A103,값!$A:$W,MATCH(Main!B$1,값!$2:$2,0),0))</f>
        <v>4.3200000000000002E-2</v>
      </c>
      <c r="C103" s="12">
        <f>IF(VLOOKUP($A103,값!$A:$W,MATCH(Main!C$1,값!$2:$2,0),0)="",NA(),VLOOKUP($A103,값!$A:$W,MATCH(Main!C$1,값!$2:$2,0),0))</f>
        <v>5.2499999999999998E-2</v>
      </c>
      <c r="D103" s="12">
        <f>IF(VLOOKUP($A103,값!$A:$W,MATCH(Main!D$1,값!$2:$2,0),0)="",NA(),VLOOKUP($A103,값!$A:$W,MATCH(Main!D$1,값!$2:$2,0),0))</f>
        <v>5.2499999999999998E-2</v>
      </c>
      <c r="E103" s="12">
        <f>IF(VLOOKUP($A103,값!$A:$W,MATCH(Main!E$1,값!$2:$2,0),0)="",NA(),VLOOKUP($A103,값!$A:$W,MATCH(Main!E$1,값!$2:$2,0),0))</f>
        <v>2.7300000000000001E-2</v>
      </c>
      <c r="F103" s="12">
        <f>IF(VLOOKUP($A103,값!$A:$W,MATCH(Main!F$1,값!$2:$2,0),0)="",NA(),VLOOKUP($A103,값!$A:$W,MATCH(Main!F$1,값!$2:$2,0),0))</f>
        <v>3.8100000000000002E-2</v>
      </c>
      <c r="G103" s="12">
        <f>IF(VLOOKUP($A103,값!$A:$W,MATCH(Main!G$1,값!$2:$2,0),0)="",NA(),VLOOKUP($A103,값!$A:$W,MATCH(Main!G$1,값!$2:$2,0),0))</f>
        <v>2.7300000000000001E-2</v>
      </c>
      <c r="H103" s="12">
        <f>IF(VLOOKUP($A103,값!$A:$W,MATCH(Main!H$1,값!$2:$2,0),0)="",NA(),VLOOKUP($A103,값!$A:$W,MATCH(Main!H$1,값!$2:$2,0),0))</f>
        <v>3.7199999999999997E-2</v>
      </c>
      <c r="I103" s="12">
        <f>IF(VLOOKUP($A103,값!$A:$W,MATCH(Main!I$1,값!$2:$2,0),0)="",NA(),VLOOKUP($A103,값!$A:$W,MATCH(Main!I$1,값!$2:$2,0),0))</f>
        <v>3.7900000000000003E-2</v>
      </c>
      <c r="J103" s="12">
        <f>IF(VLOOKUP($A103,값!$A:$W,MATCH(Main!J$1,값!$2:$2,0),0)="",NA(),VLOOKUP($A103,값!$A:$W,MATCH(Main!J$1,값!$2:$2,0),0))</f>
        <v>3.7900000000000003E-2</v>
      </c>
      <c r="K103" s="12">
        <f>IF(VLOOKUP($A103,값!$A:$W,MATCH(Main!K$1,값!$2:$2,0),0)="",NA(),VLOOKUP($A103,값!$A:$W,MATCH(Main!K$1,값!$2:$2,0),0))</f>
        <v>1.9465085159557471E-2</v>
      </c>
      <c r="L103" s="12" t="e">
        <f>IF(VLOOKUP($A103,값!$A:$W,MATCH(Main!L$1,값!$2:$2,0),0)="",NA(),VLOOKUP($A103,값!$A:$W,MATCH(Main!L$1,값!$2:$2,0),0))</f>
        <v>#N/A</v>
      </c>
      <c r="M103" s="12">
        <f>IF(VLOOKUP($A103,값!$A:$W,MATCH(Main!M$1,값!$2:$2,0),0)="",NA(),VLOOKUP($A103,값!$A:$W,MATCH(Main!M$1,값!$2:$2,0),0))</f>
        <v>1.7000000000000001E-2</v>
      </c>
      <c r="N103" s="12" t="e">
        <f>IF(VLOOKUP($A103,값!$A:$W,MATCH(Main!N$1,값!$2:$2,0),0)="",NA(),VLOOKUP($A103,값!$A:$W,MATCH(Main!N$1,값!$2:$2,0),0))</f>
        <v>#N/A</v>
      </c>
      <c r="O103" s="12">
        <f>IF(VLOOKUP($A103,값!$A:$W,MATCH(Main!O$1,값!$2:$2,0),0)="",NA(),VLOOKUP($A103,값!$A:$W,MATCH(Main!O$1,값!$2:$2,0),0))</f>
        <v>1.8700000000000001E-2</v>
      </c>
      <c r="P103" s="12">
        <f>IF(VLOOKUP($A103,값!$A:$W,MATCH(Main!P$1,값!$2:$2,0),0)="",NA(),VLOOKUP($A103,값!$A:$W,MATCH(Main!P$1,값!$2:$2,0),0))</f>
        <v>-1.3313000000000001E-3</v>
      </c>
      <c r="Q103" s="12">
        <f>IF(VLOOKUP($A103,값!$A:$W,MATCH(Main!Q$1,값!$2:$2,0),0)="",NA(),VLOOKUP($A103,값!$A:$W,MATCH(Main!Q$1,값!$2:$2,0),0))</f>
        <v>4.7196102671739126E-2</v>
      </c>
      <c r="R103" s="12">
        <f>IF(VLOOKUP($A103,값!$A:$W,MATCH(Main!R$1,값!$2:$2,0),0)="",NA(),VLOOKUP($A103,값!$A:$W,MATCH(Main!R$1,값!$2:$2,0),0))</f>
        <v>8.1900000000000001E-2</v>
      </c>
      <c r="S103" s="12">
        <f>IF(VLOOKUP($A103,값!$A:$W,MATCH(Main!S$1,값!$2:$2,0),0)="",NA(),VLOOKUP($A103,값!$A:$W,MATCH(Main!S$1,값!$2:$2,0),0))</f>
        <v>8.1900000000000001E-2</v>
      </c>
      <c r="T103" s="12">
        <f>IF(VLOOKUP($A103,값!$A:$W,MATCH(Main!T$1,값!$2:$2,0),0)="",NA(),VLOOKUP($A103,값!$A:$W,MATCH(Main!T$1,값!$2:$2,0),0))</f>
        <v>8.1900000000000001E-2</v>
      </c>
      <c r="U103" s="12">
        <f>IF(VLOOKUP($A103,값!$A:$W,MATCH(Main!U$1,값!$2:$2,0),0)="",NA(),VLOOKUP($A103,값!$A:$W,MATCH(Main!U$1,값!$2:$2,0),0))</f>
        <v>8.1900000000000001E-2</v>
      </c>
      <c r="V103" s="12">
        <f>IF(VLOOKUP($A103,값!$A:$W,MATCH(Main!V$1,값!$2:$2,0),0)="",NA(),VLOOKUP($A103,값!$A:$W,MATCH(Main!V$1,값!$2:$2,0),0))</f>
        <v>1.6405816804795803E-2</v>
      </c>
    </row>
    <row r="104" spans="1:22" x14ac:dyDescent="0.2">
      <c r="A104" s="1">
        <v>45930</v>
      </c>
      <c r="B104" s="12">
        <f>IF(VLOOKUP($A104,값!$A:$W,MATCH(Main!B$1,값!$2:$2,0),0)="",NA(),VLOOKUP($A104,값!$A:$W,MATCH(Main!B$1,값!$2:$2,0),0))</f>
        <v>1.5900000000000001E-2</v>
      </c>
      <c r="C104" s="12">
        <f>IF(VLOOKUP($A104,값!$A:$W,MATCH(Main!C$1,값!$2:$2,0),0)="",NA(),VLOOKUP($A104,값!$A:$W,MATCH(Main!C$1,값!$2:$2,0),0))</f>
        <v>7.4200000000000002E-2</v>
      </c>
      <c r="D104" s="12">
        <f>IF(VLOOKUP($A104,값!$A:$W,MATCH(Main!D$1,값!$2:$2,0),0)="",NA(),VLOOKUP($A104,값!$A:$W,MATCH(Main!D$1,값!$2:$2,0),0))</f>
        <v>7.4200000000000002E-2</v>
      </c>
      <c r="E104" s="12">
        <f>IF(VLOOKUP($A104,값!$A:$W,MATCH(Main!E$1,값!$2:$2,0),0)="",NA(),VLOOKUP($A104,값!$A:$W,MATCH(Main!E$1,값!$2:$2,0),0))</f>
        <v>2.5499999999999998E-2</v>
      </c>
      <c r="F104" s="12">
        <f>IF(VLOOKUP($A104,값!$A:$W,MATCH(Main!F$1,값!$2:$2,0),0)="",NA(),VLOOKUP($A104,값!$A:$W,MATCH(Main!F$1,값!$2:$2,0),0))</f>
        <v>3.9600000000000003E-2</v>
      </c>
      <c r="G104" s="12">
        <f>IF(VLOOKUP($A104,값!$A:$W,MATCH(Main!G$1,값!$2:$2,0),0)="",NA(),VLOOKUP($A104,값!$A:$W,MATCH(Main!G$1,값!$2:$2,0),0))</f>
        <v>2.5499999999999998E-2</v>
      </c>
      <c r="H104" s="12">
        <f>IF(VLOOKUP($A104,값!$A:$W,MATCH(Main!H$1,값!$2:$2,0),0)="",NA(),VLOOKUP($A104,값!$A:$W,MATCH(Main!H$1,값!$2:$2,0),0))</f>
        <v>1.5599999999999999E-2</v>
      </c>
      <c r="I104" s="12">
        <f>IF(VLOOKUP($A104,값!$A:$W,MATCH(Main!I$1,값!$2:$2,0),0)="",NA(),VLOOKUP($A104,값!$A:$W,MATCH(Main!I$1,값!$2:$2,0),0))</f>
        <v>2.0299999999999999E-2</v>
      </c>
      <c r="J104" s="12">
        <f>IF(VLOOKUP($A104,값!$A:$W,MATCH(Main!J$1,값!$2:$2,0),0)="",NA(),VLOOKUP($A104,값!$A:$W,MATCH(Main!J$1,값!$2:$2,0),0))</f>
        <v>3.6299999999999999E-2</v>
      </c>
      <c r="K104" s="12">
        <f>IF(VLOOKUP($A104,값!$A:$W,MATCH(Main!K$1,값!$2:$2,0),0)="",NA(),VLOOKUP($A104,값!$A:$W,MATCH(Main!K$1,값!$2:$2,0),0))</f>
        <v>2.8056075441357464E-2</v>
      </c>
      <c r="L104" s="12" t="e">
        <f>IF(VLOOKUP($A104,값!$A:$W,MATCH(Main!L$1,값!$2:$2,0),0)="",NA(),VLOOKUP($A104,값!$A:$W,MATCH(Main!L$1,값!$2:$2,0),0))</f>
        <v>#N/A</v>
      </c>
      <c r="M104" s="12">
        <f>IF(VLOOKUP($A104,값!$A:$W,MATCH(Main!M$1,값!$2:$2,0),0)="",NA(),VLOOKUP($A104,값!$A:$W,MATCH(Main!M$1,값!$2:$2,0),0))</f>
        <v>-3.7000000000000002E-3</v>
      </c>
      <c r="N104" s="12" t="e">
        <f>IF(VLOOKUP($A104,값!$A:$W,MATCH(Main!N$1,값!$2:$2,0),0)="",NA(),VLOOKUP($A104,값!$A:$W,MATCH(Main!N$1,값!$2:$2,0),0))</f>
        <v>#N/A</v>
      </c>
      <c r="O104" s="12" t="e">
        <f>IF(VLOOKUP($A104,값!$A:$W,MATCH(Main!O$1,값!$2:$2,0),0)="",NA(),VLOOKUP($A104,값!$A:$W,MATCH(Main!O$1,값!$2:$2,0),0))</f>
        <v>#N/A</v>
      </c>
      <c r="P104" s="12" t="e">
        <f>IF(VLOOKUP($A104,값!$A:$W,MATCH(Main!P$1,값!$2:$2,0),0)="",NA(),VLOOKUP($A104,값!$A:$W,MATCH(Main!P$1,값!$2:$2,0),0))</f>
        <v>#N/A</v>
      </c>
      <c r="Q104" s="12">
        <f>IF(VLOOKUP($A104,값!$A:$W,MATCH(Main!Q$1,값!$2:$2,0),0)="",NA(),VLOOKUP($A104,값!$A:$W,MATCH(Main!Q$1,값!$2:$2,0),0))</f>
        <v>4.3119182163888325E-2</v>
      </c>
      <c r="R104" s="12">
        <f>IF(VLOOKUP($A104,값!$A:$W,MATCH(Main!R$1,값!$2:$2,0),0)="",NA(),VLOOKUP($A104,값!$A:$W,MATCH(Main!R$1,값!$2:$2,0),0))</f>
        <v>7.7999999999999996E-3</v>
      </c>
      <c r="S104" s="12">
        <f>IF(VLOOKUP($A104,값!$A:$W,MATCH(Main!S$1,값!$2:$2,0),0)="",NA(),VLOOKUP($A104,값!$A:$W,MATCH(Main!S$1,값!$2:$2,0),0))</f>
        <v>7.7999999999999996E-3</v>
      </c>
      <c r="T104" s="12">
        <f>IF(VLOOKUP($A104,값!$A:$W,MATCH(Main!T$1,값!$2:$2,0),0)="",NA(),VLOOKUP($A104,값!$A:$W,MATCH(Main!T$1,값!$2:$2,0),0))</f>
        <v>7.7999999999999996E-3</v>
      </c>
      <c r="U104" s="12">
        <f>IF(VLOOKUP($A104,값!$A:$W,MATCH(Main!U$1,값!$2:$2,0),0)="",NA(),VLOOKUP($A104,값!$A:$W,MATCH(Main!U$1,값!$2:$2,0),0))</f>
        <v>7.7999999999999996E-3</v>
      </c>
      <c r="V104" s="12">
        <f>IF(VLOOKUP($A104,값!$A:$W,MATCH(Main!V$1,값!$2:$2,0),0)="",NA(),VLOOKUP($A104,값!$A:$W,MATCH(Main!V$1,값!$2:$2,0),0))</f>
        <v>3.0681805180392097E-2</v>
      </c>
    </row>
    <row r="105" spans="1:22" x14ac:dyDescent="0.2">
      <c r="A105" s="1">
        <v>46022</v>
      </c>
      <c r="B105" s="12">
        <f>IF(VLOOKUP($A105,값!$A:$W,MATCH(Main!B$1,값!$2:$2,0),0)="",NA(),VLOOKUP($A105,값!$A:$W,MATCH(Main!B$1,값!$2:$2,0),0))</f>
        <v>1.9400000000000001E-2</v>
      </c>
      <c r="C105" s="12">
        <f>IF(VLOOKUP($A105,값!$A:$W,MATCH(Main!C$1,값!$2:$2,0),0)="",NA(),VLOOKUP($A105,값!$A:$W,MATCH(Main!C$1,값!$2:$2,0),0))</f>
        <v>8.8900000000000007E-2</v>
      </c>
      <c r="D105" s="12">
        <f>IF(VLOOKUP($A105,값!$A:$W,MATCH(Main!D$1,값!$2:$2,0),0)="",NA(),VLOOKUP($A105,값!$A:$W,MATCH(Main!D$1,값!$2:$2,0),0))</f>
        <v>8.8900000000000007E-2</v>
      </c>
      <c r="E105" s="12">
        <f>IF(VLOOKUP($A105,값!$A:$W,MATCH(Main!E$1,값!$2:$2,0),0)="",NA(),VLOOKUP($A105,값!$A:$W,MATCH(Main!E$1,값!$2:$2,0),0))</f>
        <v>1.32E-2</v>
      </c>
      <c r="F105" s="12">
        <f>IF(VLOOKUP($A105,값!$A:$W,MATCH(Main!F$1,값!$2:$2,0),0)="",NA(),VLOOKUP($A105,값!$A:$W,MATCH(Main!F$1,값!$2:$2,0),0))</f>
        <v>3.5900000000000001E-2</v>
      </c>
      <c r="G105" s="12">
        <f>IF(VLOOKUP($A105,값!$A:$W,MATCH(Main!G$1,값!$2:$2,0),0)="",NA(),VLOOKUP($A105,값!$A:$W,MATCH(Main!G$1,값!$2:$2,0),0))</f>
        <v>1.32E-2</v>
      </c>
      <c r="H105" s="12">
        <f>IF(VLOOKUP($A105,값!$A:$W,MATCH(Main!H$1,값!$2:$2,0),0)="",NA(),VLOOKUP($A105,값!$A:$W,MATCH(Main!H$1,값!$2:$2,0),0))</f>
        <v>9.4999999999999998E-3</v>
      </c>
      <c r="I105" s="12">
        <f>IF(VLOOKUP($A105,값!$A:$W,MATCH(Main!I$1,값!$2:$2,0),0)="",NA(),VLOOKUP($A105,값!$A:$W,MATCH(Main!I$1,값!$2:$2,0),0))</f>
        <v>1.47E-2</v>
      </c>
      <c r="J105" s="12">
        <f>IF(VLOOKUP($A105,값!$A:$W,MATCH(Main!J$1,값!$2:$2,0),0)="",NA(),VLOOKUP($A105,값!$A:$W,MATCH(Main!J$1,값!$2:$2,0),0))</f>
        <v>2.7799999999999998E-2</v>
      </c>
      <c r="K105" s="12">
        <f>IF(VLOOKUP($A105,값!$A:$W,MATCH(Main!K$1,값!$2:$2,0),0)="",NA(),VLOOKUP($A105,값!$A:$W,MATCH(Main!K$1,값!$2:$2,0),0))</f>
        <v>2.3419320685547307E-2</v>
      </c>
      <c r="L105" s="12" t="e">
        <f>IF(VLOOKUP($A105,값!$A:$W,MATCH(Main!L$1,값!$2:$2,0),0)="",NA(),VLOOKUP($A105,값!$A:$W,MATCH(Main!L$1,값!$2:$2,0),0))</f>
        <v>#N/A</v>
      </c>
      <c r="M105" s="12">
        <f>IF(VLOOKUP($A105,값!$A:$W,MATCH(Main!M$1,값!$2:$2,0),0)="",NA(),VLOOKUP($A105,값!$A:$W,MATCH(Main!M$1,값!$2:$2,0),0))</f>
        <v>8.0000000000000004E-4</v>
      </c>
      <c r="N105" s="12" t="e">
        <f>IF(VLOOKUP($A105,값!$A:$W,MATCH(Main!N$1,값!$2:$2,0),0)="",NA(),VLOOKUP($A105,값!$A:$W,MATCH(Main!N$1,값!$2:$2,0),0))</f>
        <v>#N/A</v>
      </c>
      <c r="O105" s="12" t="e">
        <f>IF(VLOOKUP($A105,값!$A:$W,MATCH(Main!O$1,값!$2:$2,0),0)="",NA(),VLOOKUP($A105,값!$A:$W,MATCH(Main!O$1,값!$2:$2,0),0))</f>
        <v>#N/A</v>
      </c>
      <c r="P105" s="12" t="e">
        <f>IF(VLOOKUP($A105,값!$A:$W,MATCH(Main!P$1,값!$2:$2,0),0)="",NA(),VLOOKUP($A105,값!$A:$W,MATCH(Main!P$1,값!$2:$2,0),0))</f>
        <v>#N/A</v>
      </c>
      <c r="Q105" s="12">
        <f>IF(VLOOKUP($A105,값!$A:$W,MATCH(Main!Q$1,값!$2:$2,0),0)="",NA(),VLOOKUP($A105,값!$A:$W,MATCH(Main!Q$1,값!$2:$2,0),0))</f>
        <v>-5.0081044493356375E-3</v>
      </c>
      <c r="R105" s="12">
        <f>IF(VLOOKUP($A105,값!$A:$W,MATCH(Main!R$1,값!$2:$2,0),0)="",NA(),VLOOKUP($A105,값!$A:$W,MATCH(Main!R$1,값!$2:$2,0),0))</f>
        <v>1.7000000000000001E-2</v>
      </c>
      <c r="S105" s="12">
        <f>IF(VLOOKUP($A105,값!$A:$W,MATCH(Main!S$1,값!$2:$2,0),0)="",NA(),VLOOKUP($A105,값!$A:$W,MATCH(Main!S$1,값!$2:$2,0),0))</f>
        <v>1.7000000000000001E-2</v>
      </c>
      <c r="T105" s="12">
        <f>IF(VLOOKUP($A105,값!$A:$W,MATCH(Main!T$1,값!$2:$2,0),0)="",NA(),VLOOKUP($A105,값!$A:$W,MATCH(Main!T$1,값!$2:$2,0),0))</f>
        <v>1.7000000000000001E-2</v>
      </c>
      <c r="U105" s="12">
        <f>IF(VLOOKUP($A105,값!$A:$W,MATCH(Main!U$1,값!$2:$2,0),0)="",NA(),VLOOKUP($A105,값!$A:$W,MATCH(Main!U$1,값!$2:$2,0),0))</f>
        <v>1.7000000000000001E-2</v>
      </c>
      <c r="V105" s="12">
        <f>IF(VLOOKUP($A105,값!$A:$W,MATCH(Main!V$1,값!$2:$2,0),0)="",NA(),VLOOKUP($A105,값!$A:$W,MATCH(Main!V$1,값!$2:$2,0),0))</f>
        <v>8.5031104571808847E-3</v>
      </c>
    </row>
    <row r="106" spans="1:22" x14ac:dyDescent="0.2">
      <c r="A106" s="1">
        <v>46112</v>
      </c>
      <c r="B106" s="12">
        <f>IF(VLOOKUP($A106,값!$A:$W,MATCH(Main!B$1,값!$2:$2,0),0)="",NA(),VLOOKUP($A106,값!$A:$W,MATCH(Main!B$1,값!$2:$2,0),0))</f>
        <v>-9.1999999999999998E-3</v>
      </c>
      <c r="C106" s="12">
        <f>IF(VLOOKUP($A106,값!$A:$W,MATCH(Main!C$1,값!$2:$2,0),0)="",NA(),VLOOKUP($A106,값!$A:$W,MATCH(Main!C$1,값!$2:$2,0),0))</f>
        <v>3.8100000000000002E-2</v>
      </c>
      <c r="D106" s="12">
        <f>IF(VLOOKUP($A106,값!$A:$W,MATCH(Main!D$1,값!$2:$2,0),0)="",NA(),VLOOKUP($A106,값!$A:$W,MATCH(Main!D$1,값!$2:$2,0),0))</f>
        <v>3.8100000000000002E-2</v>
      </c>
      <c r="E106" s="12">
        <f>IF(VLOOKUP($A106,값!$A:$W,MATCH(Main!E$1,값!$2:$2,0),0)="",NA(),VLOOKUP($A106,값!$A:$W,MATCH(Main!E$1,값!$2:$2,0),0))</f>
        <v>-5.7999999999999996E-3</v>
      </c>
      <c r="F106" s="12">
        <f>IF(VLOOKUP($A106,값!$A:$W,MATCH(Main!F$1,값!$2:$2,0),0)="",NA(),VLOOKUP($A106,값!$A:$W,MATCH(Main!F$1,값!$2:$2,0),0))</f>
        <v>5.4000000000000003E-3</v>
      </c>
      <c r="G106" s="12">
        <f>IF(VLOOKUP($A106,값!$A:$W,MATCH(Main!G$1,값!$2:$2,0),0)="",NA(),VLOOKUP($A106,값!$A:$W,MATCH(Main!G$1,값!$2:$2,0),0))</f>
        <v>-5.7999999999999996E-3</v>
      </c>
      <c r="H106" s="12">
        <f>IF(VLOOKUP($A106,값!$A:$W,MATCH(Main!H$1,값!$2:$2,0),0)="",NA(),VLOOKUP($A106,값!$A:$W,MATCH(Main!H$1,값!$2:$2,0),0))</f>
        <v>-1.6000000000000001E-3</v>
      </c>
      <c r="I106" s="12">
        <f>IF(VLOOKUP($A106,값!$A:$W,MATCH(Main!I$1,값!$2:$2,0),0)="",NA(),VLOOKUP($A106,값!$A:$W,MATCH(Main!I$1,값!$2:$2,0),0))</f>
        <v>1.14E-2</v>
      </c>
      <c r="J106" s="12">
        <f>IF(VLOOKUP($A106,값!$A:$W,MATCH(Main!J$1,값!$2:$2,0),0)="",NA(),VLOOKUP($A106,값!$A:$W,MATCH(Main!J$1,값!$2:$2,0),0))</f>
        <v>1.8599999999999998E-2</v>
      </c>
      <c r="K106" s="12">
        <f>IF(VLOOKUP($A106,값!$A:$W,MATCH(Main!K$1,값!$2:$2,0),0)="",NA(),VLOOKUP($A106,값!$A:$W,MATCH(Main!K$1,값!$2:$2,0),0))</f>
        <v>1.1462836341417759E-2</v>
      </c>
      <c r="L106" s="12" t="e">
        <f>IF(VLOOKUP($A106,값!$A:$W,MATCH(Main!L$1,값!$2:$2,0),0)="",NA(),VLOOKUP($A106,값!$A:$W,MATCH(Main!L$1,값!$2:$2,0),0))</f>
        <v>#N/A</v>
      </c>
      <c r="M106" s="12">
        <f>IF(VLOOKUP($A106,값!$A:$W,MATCH(Main!M$1,값!$2:$2,0),0)="",NA(),VLOOKUP($A106,값!$A:$W,MATCH(Main!M$1,값!$2:$2,0),0))</f>
        <v>-5.3E-3</v>
      </c>
      <c r="N106" s="12" t="e">
        <f>IF(VLOOKUP($A106,값!$A:$W,MATCH(Main!N$1,값!$2:$2,0),0)="",NA(),VLOOKUP($A106,값!$A:$W,MATCH(Main!N$1,값!$2:$2,0),0))</f>
        <v>#N/A</v>
      </c>
      <c r="O106" s="12" t="e">
        <f>IF(VLOOKUP($A106,값!$A:$W,MATCH(Main!O$1,값!$2:$2,0),0)="",NA(),VLOOKUP($A106,값!$A:$W,MATCH(Main!O$1,값!$2:$2,0),0))</f>
        <v>#N/A</v>
      </c>
      <c r="P106" s="12" t="e">
        <f>IF(VLOOKUP($A106,값!$A:$W,MATCH(Main!P$1,값!$2:$2,0),0)="",NA(),VLOOKUP($A106,값!$A:$W,MATCH(Main!P$1,값!$2:$2,0),0))</f>
        <v>#N/A</v>
      </c>
      <c r="Q106" s="12">
        <f>IF(VLOOKUP($A106,값!$A:$W,MATCH(Main!Q$1,값!$2:$2,0),0)="",NA(),VLOOKUP($A106,값!$A:$W,MATCH(Main!Q$1,값!$2:$2,0),0))</f>
        <v>1.3008541471442037E-2</v>
      </c>
      <c r="R106" s="12">
        <f>IF(VLOOKUP($A106,값!$A:$W,MATCH(Main!R$1,값!$2:$2,0),0)="",NA(),VLOOKUP($A106,값!$A:$W,MATCH(Main!R$1,값!$2:$2,0),0))</f>
        <v>-6.8999999999999999E-3</v>
      </c>
      <c r="S106" s="12">
        <f>IF(VLOOKUP($A106,값!$A:$W,MATCH(Main!S$1,값!$2:$2,0),0)="",NA(),VLOOKUP($A106,값!$A:$W,MATCH(Main!S$1,값!$2:$2,0),0))</f>
        <v>-6.8999999999999999E-3</v>
      </c>
      <c r="T106" s="12">
        <f>IF(VLOOKUP($A106,값!$A:$W,MATCH(Main!T$1,값!$2:$2,0),0)="",NA(),VLOOKUP($A106,값!$A:$W,MATCH(Main!T$1,값!$2:$2,0),0))</f>
        <v>-6.8999999999999999E-3</v>
      </c>
      <c r="U106" s="12">
        <f>IF(VLOOKUP($A106,값!$A:$W,MATCH(Main!U$1,값!$2:$2,0),0)="",NA(),VLOOKUP($A106,값!$A:$W,MATCH(Main!U$1,값!$2:$2,0),0))</f>
        <v>-6.8999999999999999E-3</v>
      </c>
      <c r="V106" s="12">
        <f>IF(VLOOKUP($A106,값!$A:$W,MATCH(Main!V$1,값!$2:$2,0),0)="",NA(),VLOOKUP($A106,값!$A:$W,MATCH(Main!V$1,값!$2:$2,0),0))</f>
        <v>-3.7779273183019546E-3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값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2026-08-13T03:19:02Z</dcterms:created>
  <dcterms:modified xsi:type="dcterms:W3CDTF">2026-08-13T03:33:14Z</dcterms:modified>
</cp:coreProperties>
</file>